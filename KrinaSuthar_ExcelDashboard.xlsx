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drawings/drawing8.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krina\Desktop\"/>
    </mc:Choice>
  </mc:AlternateContent>
  <xr:revisionPtr revIDLastSave="0" documentId="8_{304AEB97-4E1D-4F2F-A869-3108C585F6DF}" xr6:coauthVersionLast="47" xr6:coauthVersionMax="47" xr10:uidLastSave="{00000000-0000-0000-0000-000000000000}"/>
  <bookViews>
    <workbookView xWindow="-108" yWindow="-108" windowWidth="23256" windowHeight="12456" activeTab="7" xr2:uid="{00000000-000D-0000-FFFF-FFFF00000000}"/>
  </bookViews>
  <sheets>
    <sheet name="Obj2" sheetId="4" r:id="rId1"/>
    <sheet name="Obj4" sheetId="6" r:id="rId2"/>
    <sheet name="Obj3" sheetId="5" r:id="rId3"/>
    <sheet name="Obj6" sheetId="7" r:id="rId4"/>
    <sheet name="Obj5" sheetId="8" r:id="rId5"/>
    <sheet name="Obj7" sheetId="9" r:id="rId6"/>
    <sheet name="Obj8" sheetId="10" r:id="rId7"/>
    <sheet name="Vlookup" sheetId="13" r:id="rId8"/>
    <sheet name="Dashboard" sheetId="11" r:id="rId9"/>
    <sheet name="Dataset" sheetId="1" r:id="rId10"/>
  </sheets>
  <definedNames>
    <definedName name="_xlnm._FilterDatabase" localSheetId="9" hidden="1">Dataset!$A$2:$N$1201</definedName>
    <definedName name="_xlchart.v1.2" hidden="1">'Obj7'!$D$4:$D$8</definedName>
    <definedName name="_xlchart.v1.3" hidden="1">'Obj7'!$E$4:$E$8</definedName>
    <definedName name="_xlchart.v1.4" hidden="1">'Obj7'!$D$4:$D$8</definedName>
    <definedName name="_xlchart.v1.5" hidden="1">'Obj7'!$E$4:$E$8</definedName>
    <definedName name="_xlchart.v2.0" hidden="1">'Obj5'!$D$4:$D$13</definedName>
    <definedName name="_xlchart.v2.1" hidden="1">'Obj5'!$E$4:$E$13</definedName>
    <definedName name="_xlchart.v2.10" hidden="1">'Obj5'!$D$4:$D$13</definedName>
    <definedName name="_xlchart.v2.11" hidden="1">'Obj5'!$E$4:$E$13</definedName>
    <definedName name="_xlchart.v2.6" hidden="1">'Obj5'!$D$4:$D$13</definedName>
    <definedName name="_xlchart.v2.7" hidden="1">'Obj5'!$E$4:$E$13</definedName>
    <definedName name="_xlchart.v2.8" hidden="1">'Obj5'!$D$4:$D$13</definedName>
    <definedName name="_xlchart.v2.9" hidden="1">'Obj5'!$E$4:$E$13</definedName>
    <definedName name="Slicer_Months__Date">#N/A</definedName>
    <definedName name="Slicer_OrderStatus1">#N/A</definedName>
    <definedName name="Slicer_Years__Date">#N/A</definedName>
  </definedNames>
  <calcPr calcId="191029"/>
  <pivotCaches>
    <pivotCache cacheId="63" r:id="rId11"/>
    <pivotCache cacheId="57"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3" l="1"/>
  <c r="B4" i="13"/>
  <c r="B11" i="10" l="1"/>
  <c r="L9" i="11" l="1"/>
</calcChain>
</file>

<file path=xl/sharedStrings.xml><?xml version="1.0" encoding="utf-8"?>
<sst xmlns="http://schemas.openxmlformats.org/spreadsheetml/2006/main" count="10914" uniqueCount="4302">
  <si>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</si>
  <si>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</si>
  <si>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</si>
  <si>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</si>
  <si>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</si>
  <si>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</si>
  <si>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</si>
  <si>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</si>
  <si>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</si>
  <si>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</si>
  <si>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</si>
  <si>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</si>
  <si>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</si>
  <si>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</si>
  <si>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</si>
  <si>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</si>
  <si>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</si>
  <si>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</si>
  <si>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</si>
  <si>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</si>
  <si>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</si>
  <si>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</si>
  <si>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</si>
  <si>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</si>
  <si>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</si>
  <si>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</si>
  <si>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</si>
  <si>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</si>
  <si>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</si>
  <si>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</si>
  <si>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</si>
  <si>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</si>
  <si>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</si>
  <si>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</si>
  <si>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</si>
  <si>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</si>
  <si>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</si>
  <si>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</si>
  <si>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</si>
  <si>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</si>
  <si>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</si>
  <si>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</si>
  <si>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</si>
  <si>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</si>
  <si>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</si>
  <si>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</si>
  <si>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</si>
  <si>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</si>
  <si>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</si>
  <si>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</si>
  <si>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</si>
  <si>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</si>
  <si>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</si>
  <si>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</si>
  <si>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</si>
  <si>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</si>
  <si>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</si>
  <si>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</si>
  <si>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</si>
  <si>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</si>
  <si>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</si>
  <si>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</si>
  <si>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</si>
  <si>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</si>
  <si>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</si>
  <si>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</si>
  <si>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</si>
  <si>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</si>
  <si>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</si>
  <si>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</si>
  <si>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</si>
  <si>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</si>
  <si>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</si>
  <si>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</si>
  <si>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</si>
  <si>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</si>
  <si>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</si>
  <si>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</si>
  <si>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</si>
  <si>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</si>
  <si>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</si>
  <si>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</si>
  <si>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</si>
  <si>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</si>
  <si>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</si>
  <si>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</si>
  <si>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</si>
  <si>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</si>
  <si>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</si>
  <si>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</si>
  <si>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</si>
  <si>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</si>
  <si>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</si>
  <si>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</si>
  <si>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</si>
  <si>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</si>
  <si>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</si>
  <si>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</si>
  <si>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</si>
  <si>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</si>
  <si>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</si>
  <si>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</si>
  <si>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</si>
  <si>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</si>
  <si>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</si>
  <si>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</si>
  <si>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</si>
  <si>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</si>
  <si>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</si>
  <si>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</si>
  <si>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</si>
  <si>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</si>
  <si>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</si>
  <si>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</si>
  <si>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</si>
  <si>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</si>
  <si>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</si>
  <si>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</si>
  <si>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</si>
  <si>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</si>
  <si>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</si>
  <si>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</si>
  <si>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</si>
  <si>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</si>
  <si>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</si>
  <si>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</si>
  <si>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</si>
  <si>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</si>
  <si>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</si>
  <si>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</si>
  <si>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</si>
  <si>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</si>
  <si>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</si>
  <si>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</si>
  <si>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</si>
  <si>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</si>
  <si>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</si>
  <si>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</si>
  <si>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</si>
  <si>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</si>
  <si>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</si>
  <si>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</si>
  <si>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</si>
  <si>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</si>
  <si>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</si>
  <si>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</si>
  <si>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</si>
  <si>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</si>
  <si>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</si>
  <si>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</si>
  <si>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</si>
  <si>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</si>
  <si>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</si>
  <si>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</si>
  <si>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</si>
  <si>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</si>
  <si>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</si>
  <si>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</si>
  <si>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</si>
  <si>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</si>
  <si>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</si>
  <si>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</si>
  <si>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</si>
  <si>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</si>
  <si>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</si>
  <si>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</si>
  <si>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</si>
  <si>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</si>
  <si>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</si>
  <si>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</si>
  <si>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</si>
  <si>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</si>
  <si>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</si>
  <si>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</si>
  <si>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</si>
  <si>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</si>
  <si>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</si>
  <si>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</si>
  <si>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</si>
  <si>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</si>
  <si>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</si>
  <si>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</si>
  <si>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</si>
  <si>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</si>
  <si>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</si>
  <si>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</si>
  <si>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</si>
  <si>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</si>
  <si>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</si>
  <si>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</si>
  <si>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</si>
  <si>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</si>
  <si>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</si>
  <si>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</si>
  <si>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</si>
  <si>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</si>
  <si>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</si>
  <si>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</si>
  <si>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</si>
  <si>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</si>
  <si>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</si>
  <si>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</si>
  <si>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</si>
  <si>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</si>
  <si>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</si>
  <si>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</si>
  <si>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</si>
  <si>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</si>
  <si>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</si>
  <si>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</si>
  <si>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</si>
  <si>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</si>
  <si>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</si>
  <si>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</si>
  <si>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</si>
  <si>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</si>
  <si>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</si>
  <si>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</si>
  <si>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</si>
  <si>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</si>
  <si>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</si>
  <si>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</si>
  <si>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</si>
  <si>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</si>
  <si>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</si>
  <si>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</si>
  <si>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</si>
  <si>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</si>
  <si>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</si>
  <si>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</si>
  <si>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</si>
  <si>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</si>
  <si>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</si>
  <si>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</si>
  <si>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</si>
  <si>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</si>
  <si>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</si>
  <si>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</si>
  <si>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</si>
  <si>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</si>
  <si>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</si>
  <si>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</si>
  <si>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</si>
  <si>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</si>
  <si>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</si>
  <si>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</si>
  <si>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</si>
  <si>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</si>
  <si>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</si>
  <si>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</si>
  <si>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</si>
  <si>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</si>
  <si>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</si>
  <si>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</si>
  <si>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</si>
  <si>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</si>
  <si>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</si>
  <si>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</si>
  <si>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</si>
  <si>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</si>
  <si>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</si>
  <si>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</si>
  <si>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</si>
  <si>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</si>
  <si>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</si>
  <si>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</si>
  <si>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</si>
  <si>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</si>
  <si>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</si>
  <si>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</si>
  <si>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</si>
  <si>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</si>
  <si>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</si>
  <si>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</si>
  <si>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</si>
  <si>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</si>
  <si>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</si>
  <si>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</si>
  <si>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</si>
  <si>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</si>
  <si>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</si>
  <si>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</si>
  <si>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</si>
  <si>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</si>
  <si>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</si>
  <si>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</si>
  <si>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</si>
  <si>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</si>
  <si>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</si>
  <si>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</si>
  <si>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</si>
  <si>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</si>
  <si>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</si>
  <si>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</si>
  <si>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</si>
  <si>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</si>
  <si>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</si>
  <si>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</si>
  <si>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</si>
  <si>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</si>
  <si>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</si>
  <si>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</si>
  <si>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</si>
  <si>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</si>
  <si>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</si>
  <si>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</si>
  <si>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</si>
  <si>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</si>
  <si>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</si>
  <si>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</si>
  <si>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</si>
  <si>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</si>
  <si>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</si>
  <si>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</si>
  <si>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</si>
  <si>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</si>
  <si>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</si>
  <si>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</si>
  <si>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</si>
  <si>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</si>
  <si>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</si>
  <si>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</si>
  <si>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</si>
  <si>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</si>
  <si>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</si>
  <si>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</si>
  <si>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</si>
  <si>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</si>
  <si>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</si>
  <si>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</si>
  <si>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</si>
  <si>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</si>
  <si>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</si>
  <si>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</si>
  <si>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</si>
  <si>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</si>
  <si>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</si>
  <si>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</si>
  <si>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</si>
  <si>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</si>
  <si>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</si>
  <si>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</si>
  <si>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</si>
  <si>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</si>
  <si>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</si>
  <si>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</si>
  <si>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</si>
  <si>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</si>
  <si>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</si>
  <si>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</si>
  <si>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</si>
  <si>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</si>
  <si>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</si>
  <si>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</si>
  <si>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</si>
  <si>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</si>
  <si>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</si>
  <si>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</si>
  <si>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</si>
  <si>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</si>
  <si>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</si>
  <si>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</si>
  <si>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</si>
  <si>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</si>
  <si>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</si>
  <si>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</si>
  <si>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</si>
  <si>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</si>
  <si>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</si>
  <si>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</si>
  <si>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</si>
  <si>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</si>
  <si>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</si>
  <si>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</si>
  <si>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</si>
  <si>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</si>
  <si>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</si>
  <si>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</si>
  <si>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</si>
  <si>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</si>
  <si>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</si>
  <si>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</si>
  <si>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</si>
  <si>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</si>
  <si>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</si>
  <si>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</si>
  <si>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</si>
  <si>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</si>
  <si>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</si>
  <si>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</si>
  <si>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</si>
  <si>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</si>
  <si>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</si>
  <si>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</si>
  <si>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</si>
  <si>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</si>
  <si>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</si>
  <si>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</si>
  <si>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</si>
  <si>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</si>
  <si>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</si>
  <si>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</si>
  <si>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</si>
  <si>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</si>
  <si>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</si>
  <si>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</si>
  <si>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</si>
  <si>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</si>
  <si>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</si>
  <si>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</si>
  <si>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</si>
  <si>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</si>
  <si>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</si>
  <si>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</si>
  <si>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</si>
  <si>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</si>
  <si>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</si>
  <si>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</si>
  <si>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</si>
  <si>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</si>
  <si>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</si>
  <si>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</si>
  <si>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</si>
  <si>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</si>
  <si>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</si>
  <si>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</si>
  <si>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</si>
  <si>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</si>
  <si>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</si>
  <si>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</si>
  <si>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</si>
  <si>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</si>
  <si>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</si>
  <si>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</si>
  <si>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</si>
  <si>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</si>
  <si>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</si>
  <si>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</si>
  <si>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</si>
  <si>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</si>
  <si>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</si>
  <si>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</si>
  <si>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</si>
  <si>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</si>
  <si>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</si>
  <si>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</si>
  <si>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</si>
  <si>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</si>
  <si>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</si>
  <si>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</si>
  <si>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</si>
  <si>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</si>
  <si>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</si>
  <si>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</si>
  <si>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</si>
  <si>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</si>
  <si>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</si>
  <si>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</si>
  <si>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</si>
  <si>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</si>
  <si>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</si>
  <si>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</si>
  <si>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</si>
  <si>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</si>
  <si>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</si>
  <si>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</si>
  <si>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</si>
  <si>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</si>
  <si>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</si>
  <si>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</si>
  <si>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</si>
  <si>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</si>
  <si>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</si>
  <si>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</si>
  <si>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</si>
  <si>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</si>
  <si>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</si>
  <si>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</si>
  <si>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</si>
  <si>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</si>
  <si>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</si>
  <si>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</si>
  <si>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</si>
  <si>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</si>
  <si>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</si>
  <si>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</si>
  <si>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</si>
  <si>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</si>
  <si>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</si>
  <si>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</si>
  <si>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</si>
  <si>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</si>
  <si>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</si>
  <si>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</si>
  <si>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</si>
  <si>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</si>
  <si>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</si>
  <si>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</si>
  <si>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</si>
  <si>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</si>
  <si>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</si>
  <si>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</si>
  <si>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</si>
  <si>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</si>
  <si>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</si>
  <si>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</si>
  <si>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</si>
  <si>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</si>
  <si>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</si>
  <si>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</si>
  <si>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</si>
  <si>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</si>
  <si>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</si>
  <si>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</si>
  <si>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</si>
  <si>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</si>
  <si>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</si>
  <si>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</si>
  <si>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</si>
  <si>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</si>
  <si>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</si>
  <si>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</si>
  <si>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</si>
  <si>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</si>
  <si>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</si>
  <si>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</si>
  <si>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</si>
  <si>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</si>
  <si>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</si>
  <si>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</si>
  <si>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</si>
  <si>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</si>
  <si>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</si>
  <si>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</si>
  <si>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</si>
  <si>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</si>
  <si>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</si>
  <si>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</si>
  <si>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</si>
  <si>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</si>
  <si>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</si>
  <si>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</si>
  <si>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</si>
  <si>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</si>
  <si>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</si>
  <si>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</si>
  <si>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</si>
  <si>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</si>
  <si>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</si>
  <si>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</si>
  <si>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</si>
  <si>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</si>
  <si>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</si>
  <si>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</si>
  <si>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</si>
  <si>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</si>
  <si>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</si>
  <si>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</si>
  <si>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</si>
  <si>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</si>
  <si>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</si>
  <si>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</si>
  <si>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</si>
  <si>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</si>
  <si>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</si>
  <si>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</si>
  <si>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</si>
  <si>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</si>
  <si>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</si>
  <si>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</si>
  <si>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</si>
  <si>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</si>
  <si>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</si>
  <si>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</si>
  <si>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</si>
  <si>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</si>
  <si>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</si>
  <si>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</si>
  <si>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</si>
  <si>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</si>
  <si>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</si>
  <si>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</si>
  <si>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</si>
  <si>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</si>
  <si>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</si>
  <si>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</si>
  <si>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</si>
  <si>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</si>
  <si>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</si>
  <si>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</si>
  <si>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</si>
  <si>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</si>
  <si>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</si>
  <si>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</si>
  <si>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</si>
  <si>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</si>
  <si>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</si>
  <si>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</si>
  <si>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</si>
  <si>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</si>
  <si>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</si>
  <si>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</si>
  <si>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</si>
  <si>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</si>
  <si>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</si>
  <si>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</si>
  <si>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</si>
  <si>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</si>
  <si>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</si>
  <si>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</si>
  <si>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</si>
  <si>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</si>
  <si>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</si>
  <si>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</si>
  <si>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</si>
  <si>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</si>
  <si>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</si>
  <si>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</si>
  <si>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</si>
  <si>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</si>
  <si>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</si>
  <si>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</si>
  <si>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</si>
  <si>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</si>
  <si>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</si>
  <si>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</si>
  <si>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</si>
  <si>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</si>
  <si>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</si>
  <si>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</si>
  <si>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</si>
  <si>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</si>
  <si>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</si>
  <si>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</si>
  <si>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</si>
  <si>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</si>
  <si>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</si>
  <si>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</si>
  <si>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</si>
  <si>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</si>
  <si>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</si>
  <si>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</si>
  <si>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</si>
  <si>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</si>
  <si>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</si>
  <si>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</si>
  <si>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</si>
  <si>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</si>
  <si>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</si>
  <si>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</si>
  <si>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</si>
  <si>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</si>
  <si>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</si>
  <si>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</si>
  <si>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</si>
  <si>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</si>
  <si>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</si>
  <si>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</si>
  <si>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</si>
  <si>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</si>
  <si>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</si>
  <si>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</si>
  <si>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</si>
  <si>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</si>
  <si>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</si>
  <si>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</si>
  <si>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</si>
  <si>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</si>
  <si>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</si>
  <si>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</si>
  <si>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</si>
  <si>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</si>
  <si>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</si>
  <si>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</si>
  <si>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</si>
  <si>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</si>
  <si>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</si>
  <si>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</si>
  <si>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</si>
  <si>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</si>
  <si>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</si>
  <si>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</si>
  <si>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</si>
  <si>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</si>
  <si>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</si>
  <si>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</si>
  <si>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</si>
  <si>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</si>
  <si>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</si>
  <si>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</si>
  <si>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</si>
  <si>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</si>
  <si>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</si>
  <si>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</si>
  <si>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</si>
  <si>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</si>
  <si>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</si>
  <si>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</si>
  <si>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</si>
  <si>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</si>
  <si>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</si>
  <si>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</si>
  <si>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</si>
  <si>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</si>
  <si>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</si>
  <si>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</si>
  <si>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</si>
  <si>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</si>
  <si>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</si>
  <si>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</si>
  <si>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</si>
  <si>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</si>
  <si>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</si>
  <si>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</si>
  <si>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</si>
  <si>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</si>
  <si>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</si>
  <si>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</si>
  <si>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</si>
  <si>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</si>
  <si>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</si>
  <si>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</si>
  <si>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</si>
  <si>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</si>
  <si>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</si>
  <si>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</si>
  <si>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</si>
  <si>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</si>
  <si>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</si>
  <si>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</si>
  <si>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</si>
  <si>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</si>
  <si>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</si>
  <si>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</si>
  <si>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</si>
  <si>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</si>
  <si>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</si>
  <si>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</si>
  <si>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</si>
  <si>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</si>
  <si>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</si>
  <si>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</si>
  <si>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</si>
  <si>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</si>
  <si>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</si>
  <si>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</si>
  <si>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</si>
  <si>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</si>
  <si>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</si>
  <si>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</si>
  <si>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</si>
  <si>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</si>
  <si>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</si>
  <si>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</si>
  <si>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</si>
  <si>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</si>
  <si>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</si>
  <si>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</si>
  <si>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</si>
  <si>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</si>
  <si>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</si>
  <si>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</si>
  <si>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</si>
  <si>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</si>
  <si>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</si>
  <si>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</si>
  <si>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</si>
  <si>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</si>
  <si>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</si>
  <si>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</si>
  <si>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</si>
  <si>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</si>
  <si>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</si>
  <si>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</si>
  <si>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</si>
  <si>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</si>
  <si>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</si>
  <si>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</si>
  <si>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</si>
  <si>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</si>
  <si>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</si>
  <si>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</si>
  <si>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</si>
  <si>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</si>
  <si>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</si>
  <si>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</si>
  <si>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</si>
  <si>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</si>
  <si>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</si>
  <si>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</si>
  <si>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</si>
  <si>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</si>
  <si>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</si>
  <si>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</si>
  <si>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</si>
  <si>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</si>
  <si>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</si>
  <si>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</si>
  <si>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</si>
  <si>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</si>
  <si>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</si>
  <si>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</si>
  <si>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</si>
  <si>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</si>
  <si>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</si>
  <si>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</si>
  <si>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</si>
  <si>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</si>
  <si>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</si>
  <si>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</si>
  <si>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</si>
  <si>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</si>
  <si>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</si>
  <si>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</si>
  <si>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</si>
  <si>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</si>
  <si>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</si>
  <si>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</si>
  <si>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</si>
  <si>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</si>
  <si>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</si>
  <si>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</si>
  <si>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</si>
  <si>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</si>
  <si>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</si>
  <si>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</si>
  <si>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</si>
  <si>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</si>
  <si>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</si>
  <si>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</si>
  <si>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</si>
  <si>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</si>
  <si>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</si>
  <si>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</si>
  <si>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</si>
  <si>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</si>
  <si>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</si>
  <si>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</si>
  <si>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</si>
  <si>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</si>
  <si>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</si>
  <si>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</si>
  <si>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</si>
  <si>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</si>
  <si>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</si>
  <si>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</si>
  <si>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</si>
  <si>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</si>
  <si>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</si>
  <si>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</si>
  <si>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</si>
  <si>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</si>
  <si>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</si>
  <si>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</si>
  <si>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</si>
  <si>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</si>
  <si>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</si>
  <si>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</si>
  <si>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</si>
  <si>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</si>
  <si>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</si>
  <si>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</si>
  <si>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</si>
  <si>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</si>
  <si>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</si>
  <si>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</si>
  <si>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</si>
  <si>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</si>
  <si>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</si>
  <si>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</si>
  <si>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</si>
  <si>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</si>
  <si>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</si>
  <si>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</si>
  <si>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</si>
  <si>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</si>
  <si>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</si>
  <si>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</si>
  <si>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</si>
  <si>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</si>
  <si>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</si>
  <si>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</si>
  <si>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</si>
  <si>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</si>
  <si>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</si>
  <si>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</si>
  <si>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</si>
  <si>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</si>
  <si>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</si>
  <si>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</si>
  <si>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</si>
  <si>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</si>
  <si>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</si>
  <si>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</si>
  <si>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</si>
  <si>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</si>
  <si>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</si>
  <si>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</si>
  <si>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</si>
  <si>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</si>
  <si>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</si>
  <si>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</si>
  <si>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</si>
  <si>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</si>
  <si>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</si>
  <si>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</si>
  <si>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</si>
  <si>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</si>
  <si>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</si>
  <si>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</si>
  <si>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</si>
  <si>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</si>
  <si>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</si>
  <si>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</si>
  <si>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</si>
  <si>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</si>
  <si>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</si>
  <si>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</si>
  <si>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</si>
  <si>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</si>
  <si>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</si>
  <si>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</si>
  <si>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</si>
  <si>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</si>
  <si>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</si>
  <si>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</si>
  <si>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</si>
  <si>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</si>
  <si>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</si>
  <si>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</si>
  <si>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</si>
  <si>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</si>
  <si>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</si>
  <si>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</si>
  <si>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</si>
  <si>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</si>
  <si>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</si>
  <si>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</si>
  <si>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</si>
  <si>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</si>
  <si>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</si>
  <si>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</si>
  <si>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</si>
  <si>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</si>
  <si>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</si>
  <si>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</si>
  <si>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</si>
  <si>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</si>
  <si>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</si>
  <si>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</si>
  <si>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</si>
  <si>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</si>
  <si>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</si>
  <si>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</si>
  <si>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</si>
  <si>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</si>
  <si>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</si>
  <si>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</si>
  <si>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</si>
  <si>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</si>
  <si>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</si>
  <si>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</si>
  <si>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</si>
  <si>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</si>
  <si>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</si>
  <si>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</si>
  <si>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</si>
  <si>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</si>
  <si>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</si>
  <si>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</si>
  <si>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</si>
  <si>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</si>
  <si>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</si>
  <si>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</si>
  <si>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</si>
  <si>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</si>
  <si>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</si>
  <si>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</si>
  <si>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</si>
  <si>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</si>
  <si>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</si>
  <si>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</si>
  <si>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</si>
  <si>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</si>
  <si>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</si>
  <si>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</si>
  <si>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</si>
  <si>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</si>
  <si>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</si>
  <si>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</si>
  <si>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</si>
  <si>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</si>
  <si>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</si>
  <si>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</si>
  <si>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</si>
  <si>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</si>
  <si>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</si>
  <si>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</si>
  <si>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</si>
  <si>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</si>
  <si>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</si>
  <si>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</si>
  <si>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</si>
  <si>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</si>
  <si>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</si>
  <si>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</si>
  <si>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</si>
  <si>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</si>
  <si>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</si>
  <si>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</si>
  <si>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</si>
  <si>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</si>
  <si>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</si>
  <si>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</si>
  <si>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</si>
  <si>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</si>
  <si>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</si>
  <si>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</si>
  <si>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</si>
  <si>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</si>
  <si>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</si>
  <si>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</si>
  <si>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</si>
  <si>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</si>
  <si>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</si>
  <si>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</si>
  <si>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</si>
  <si>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</si>
  <si>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</si>
  <si>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</si>
  <si>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</si>
  <si>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</si>
  <si>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</si>
  <si>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</si>
  <si>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</si>
  <si>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</si>
  <si>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</si>
  <si>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</si>
  <si>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</si>
  <si>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</si>
  <si>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</si>
  <si>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</si>
  <si>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</si>
  <si>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</si>
  <si>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</si>
  <si>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</si>
  <si>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</si>
  <si>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</si>
  <si>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</si>
  <si>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</si>
  <si>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</si>
  <si>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</si>
  <si>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</si>
  <si>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</si>
  <si>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</si>
  <si>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</si>
  <si>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</si>
  <si>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</si>
  <si>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</si>
  <si>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</si>
  <si>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</si>
  <si>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</si>
  <si>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</si>
  <si>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</si>
  <si>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</si>
  <si>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</si>
  <si>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</si>
  <si>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</si>
  <si>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</si>
  <si>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</si>
  <si>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</si>
  <si>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</si>
  <si>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</si>
  <si>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</si>
  <si>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</si>
  <si>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</si>
  <si>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</si>
  <si>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</si>
  <si>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</si>
  <si>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</si>
  <si>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</si>
  <si>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</si>
  <si>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</si>
  <si>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</si>
  <si>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</si>
  <si>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</si>
  <si>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</si>
  <si>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</si>
  <si>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</si>
  <si>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</si>
  <si>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</si>
  <si>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</si>
  <si>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</si>
  <si>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</si>
  <si>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</si>
  <si>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</si>
  <si>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</si>
  <si>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</si>
  <si>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</si>
  <si>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</si>
  <si>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</si>
  <si>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</si>
  <si>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</si>
  <si>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</si>
  <si>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</si>
  <si>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</si>
  <si>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</si>
  <si>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</si>
  <si>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</si>
  <si>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</si>
  <si>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</si>
  <si>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</si>
  <si>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</si>
  <si>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</si>
  <si>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</si>
  <si>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</si>
  <si>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</si>
  <si>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</si>
  <si>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</si>
  <si>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</si>
  <si>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</si>
  <si>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</si>
  <si>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</si>
  <si>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</si>
  <si>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</si>
  <si>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</si>
  <si>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</si>
  <si>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</si>
  <si>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</si>
  <si>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</si>
  <si>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</si>
  <si>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</si>
  <si>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</si>
  <si>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</si>
  <si>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</si>
  <si>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</si>
  <si>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</si>
  <si>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</si>
  <si>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</si>
  <si>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</si>
  <si>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</si>
  <si>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</si>
  <si>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</si>
  <si>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</si>
  <si>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</si>
  <si>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</si>
  <si>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</si>
  <si>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</si>
  <si>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</si>
  <si>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</si>
  <si>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</si>
  <si>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</si>
  <si>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</si>
  <si>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</si>
  <si>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</si>
  <si>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</si>
  <si>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</si>
  <si>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</si>
  <si>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</si>
  <si>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</si>
  <si>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</si>
  <si>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</si>
  <si>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</si>
  <si>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</si>
  <si>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</si>
  <si>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</si>
  <si>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</si>
  <si>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</si>
  <si>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</si>
  <si>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</si>
  <si>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</si>
  <si>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</si>
  <si>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</si>
  <si>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</si>
  <si>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</si>
  <si>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</si>
  <si>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</si>
  <si>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</si>
  <si>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</si>
  <si>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</si>
  <si>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</si>
  <si>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</si>
  <si>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</si>
  <si>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</si>
  <si>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</si>
  <si>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</si>
  <si>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</si>
  <si>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</si>
  <si>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</si>
  <si>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</si>
  <si>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</si>
  <si>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</si>
  <si>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</si>
  <si>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</si>
  <si>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</si>
  <si>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</si>
  <si>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</si>
  <si>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</si>
  <si>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</si>
  <si>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</si>
  <si>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</si>
  <si>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</si>
  <si>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</si>
  <si>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</si>
  <si>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</si>
  <si>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</si>
  <si>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</si>
  <si>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</si>
  <si>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</si>
  <si>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</si>
  <si>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</si>
  <si>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</si>
  <si>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</si>
  <si>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</si>
  <si>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</si>
  <si>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</si>
  <si>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</si>
  <si>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</si>
  <si>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</si>
  <si>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</si>
  <si>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</si>
  <si>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</si>
  <si>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</si>
  <si>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</si>
  <si>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</si>
  <si>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</si>
  <si>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</si>
  <si>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</si>
  <si>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</si>
  <si>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</si>
  <si>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</si>
  <si>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</si>
  <si>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</si>
  <si>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</si>
  <si>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</si>
  <si>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</si>
  <si>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</si>
  <si>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</si>
  <si>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</si>
  <si>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</si>
  <si>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</si>
  <si>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</si>
  <si>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</si>
  <si>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</si>
  <si>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</si>
  <si>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</si>
  <si>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</si>
  <si>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</si>
  <si>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</si>
  <si>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</si>
  <si>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</si>
  <si>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</si>
  <si>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</si>
  <si>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</si>
  <si>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</si>
  <si>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</si>
  <si>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</si>
  <si>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</si>
  <si>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</si>
  <si>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</si>
  <si>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</si>
  <si>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</si>
  <si>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</si>
  <si>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</si>
  <si>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</si>
  <si>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</si>
  <si>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</si>
  <si>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</si>
  <si>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</si>
  <si>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</si>
  <si>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</si>
  <si>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</si>
  <si>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</si>
  <si>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</si>
  <si>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</si>
  <si>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</si>
  <si>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</si>
  <si>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</si>
  <si>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</si>
  <si>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</si>
  <si>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</si>
  <si>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</si>
  <si>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</si>
  <si>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</si>
  <si>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</si>
  <si>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</si>
  <si>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</si>
  <si>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</si>
  <si>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</si>
  <si>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</si>
  <si>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</si>
  <si>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</si>
  <si>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</si>
  <si>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</si>
  <si>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</si>
  <si>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</si>
  <si>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</si>
  <si>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</si>
  <si>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</si>
  <si>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</si>
  <si>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</si>
  <si>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</si>
  <si>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</si>
  <si>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</si>
  <si>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</si>
  <si>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</si>
  <si>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</si>
  <si>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</si>
  <si>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</si>
  <si>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</si>
  <si>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</si>
  <si>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</si>
  <si>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</si>
  <si>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</si>
  <si>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</si>
  <si>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</si>
  <si>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</si>
  <si>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</si>
  <si>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</si>
  <si>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</si>
  <si>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</si>
  <si>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</si>
  <si>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</si>
  <si>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</si>
  <si>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</si>
  <si>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</si>
  <si>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</si>
  <si>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</si>
  <si>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</si>
  <si>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</si>
  <si>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</si>
  <si>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</si>
  <si>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</si>
  <si>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</si>
  <si>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</si>
  <si>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</si>
  <si>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</si>
  <si>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</si>
  <si>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</si>
  <si>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</si>
  <si>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</si>
  <si>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</si>
  <si>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</si>
  <si>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</si>
  <si>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</si>
  <si>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</si>
  <si>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</si>
  <si>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</si>
  <si>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</si>
  <si>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</si>
  <si>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</si>
  <si>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</si>
  <si>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</si>
  <si>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</si>
  <si>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</si>
  <si>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</si>
  <si>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</si>
  <si>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</si>
  <si>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</si>
  <si>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</si>
  <si>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</si>
  <si>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</si>
  <si>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</si>
  <si>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</si>
  <si>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</si>
  <si>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</si>
  <si>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</si>
  <si>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</si>
  <si>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</si>
  <si>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</si>
  <si>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</si>
  <si>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</si>
  <si>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</si>
  <si>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</si>
  <si>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</si>
  <si>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</si>
  <si>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</si>
  <si>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</si>
  <si>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</si>
  <si>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</si>
  <si>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</si>
  <si>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</si>
  <si>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</si>
  <si>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</si>
  <si>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</si>
  <si>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</si>
  <si>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</si>
  <si>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</si>
  <si>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</si>
  <si>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</si>
  <si>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</si>
  <si>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</si>
  <si>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</si>
  <si>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</si>
  <si>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</si>
  <si>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</si>
  <si>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</si>
  <si>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</si>
  <si>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</si>
  <si>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</si>
  <si>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</si>
  <si>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</si>
  <si>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</si>
  <si>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</si>
  <si>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</si>
  <si>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</si>
  <si>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</si>
  <si>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</si>
  <si>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</si>
  <si>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</si>
  <si>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</si>
  <si>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</si>
  <si>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</si>
  <si>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</si>
  <si>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</si>
  <si>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</si>
  <si>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</si>
  <si>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</si>
  <si>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</si>
  <si>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</si>
  <si>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</si>
  <si>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</si>
  <si>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</si>
  <si>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</si>
  <si>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</si>
  <si>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</si>
  <si>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</si>
  <si>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</si>
  <si>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</si>
  <si>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</si>
  <si>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</si>
  <si>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</si>
  <si>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</si>
  <si>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</si>
  <si>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</si>
  <si>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</si>
  <si>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</si>
  <si>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</si>
  <si>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</si>
  <si>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</si>
  <si>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</si>
  <si>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</si>
  <si>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</si>
  <si>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</si>
  <si>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</si>
  <si>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</si>
  <si>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</si>
  <si>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</si>
  <si>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</si>
  <si>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</si>
  <si>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</si>
  <si>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</si>
  <si>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</si>
  <si>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</si>
  <si>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</si>
  <si>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</si>
  <si>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</si>
  <si>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</si>
  <si>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</si>
  <si>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</si>
  <si>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</si>
  <si>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</si>
  <si>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</si>
  <si>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</si>
  <si>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</si>
  <si>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</si>
  <si>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</si>
  <si>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</si>
  <si>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</si>
  <si>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</si>
  <si>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</si>
  <si>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</si>
  <si>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</si>
  <si>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</si>
  <si>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</si>
  <si>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</si>
  <si>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</si>
  <si>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</si>
  <si>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</si>
  <si>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</si>
  <si>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</si>
  <si>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</si>
  <si>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</si>
  <si>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</si>
  <si>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</si>
  <si>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</si>
  <si>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</si>
  <si>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</si>
  <si>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</si>
  <si>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</si>
  <si>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</si>
  <si>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</si>
  <si>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</si>
  <si>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</si>
  <si>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</si>
  <si>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</si>
  <si>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</si>
  <si>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</si>
  <si>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</si>
  <si>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</si>
  <si>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</si>
  <si>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</si>
  <si>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</si>
  <si>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</si>
  <si>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</si>
  <si>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</si>
  <si>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</si>
  <si>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</si>
  <si>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</si>
  <si>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</si>
  <si>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</si>
  <si>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</si>
  <si>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</si>
  <si>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</si>
  <si>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</si>
  <si>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</si>
  <si>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</si>
  <si>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</si>
  <si>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</si>
  <si>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</si>
  <si>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</si>
  <si>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</si>
  <si>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</si>
  <si>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</si>
  <si>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</si>
  <si>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</si>
  <si>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</si>
  <si>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</si>
  <si>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</si>
  <si>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</si>
  <si>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</si>
  <si>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</si>
  <si>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</si>
  <si>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</si>
  <si>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</si>
  <si>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</si>
  <si>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</si>
  <si>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</si>
  <si>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</si>
  <si>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</si>
  <si>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</si>
  <si>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</si>
  <si>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</si>
  <si>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</si>
  <si>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</si>
  <si>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</si>
  <si>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</si>
  <si>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</si>
  <si>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</si>
  <si>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</si>
  <si>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</si>
  <si>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</si>
  <si>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</si>
  <si>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</si>
  <si>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</si>
  <si>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</si>
  <si>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</si>
  <si>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</si>
  <si>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</si>
  <si>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</si>
  <si>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</si>
  <si>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</si>
  <si>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</si>
  <si>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</si>
  <si>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</si>
  <si>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</si>
  <si>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</si>
  <si>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</si>
  <si>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</si>
  <si>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</si>
  <si>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</si>
  <si>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</si>
  <si>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</si>
  <si>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</si>
  <si>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</si>
  <si>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</si>
  <si>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</si>
  <si>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</si>
  <si>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</si>
  <si>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</si>
  <si>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</si>
  <si>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</si>
  <si>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</si>
  <si>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</si>
  <si>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</si>
  <si>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</si>
  <si>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</si>
  <si>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</si>
  <si>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</si>
  <si>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</si>
  <si>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</si>
  <si>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</si>
  <si>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</si>
  <si>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</si>
  <si>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</si>
  <si>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</si>
  <si>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</si>
  <si>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</si>
  <si>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</si>
  <si>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</si>
  <si>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</si>
  <si>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</si>
  <si>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</si>
  <si>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</si>
  <si>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</si>
  <si>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</si>
  <si>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</si>
  <si>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</si>
  <si>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</si>
  <si>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</si>
  <si>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</si>
  <si>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</si>
  <si>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</si>
  <si>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</si>
  <si>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</si>
  <si>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</si>
  <si>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</si>
  <si>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</si>
  <si>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</si>
  <si>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</si>
  <si>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</si>
  <si>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</si>
  <si>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</si>
  <si>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</si>
  <si>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</si>
  <si>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</si>
  <si>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</si>
  <si>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</si>
  <si>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</si>
  <si>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</si>
  <si>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</si>
  <si>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</si>
  <si>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</si>
  <si>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</si>
  <si>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</si>
  <si>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</si>
  <si>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</si>
  <si>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</si>
  <si>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</si>
  <si>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</si>
  <si>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</si>
  <si>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</si>
  <si>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</si>
  <si>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</si>
  <si>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</si>
  <si>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</si>
  <si>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</si>
  <si>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</si>
  <si>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</si>
  <si>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</si>
  <si>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</si>
  <si>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</si>
  <si>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</si>
  <si>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</si>
  <si>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</si>
  <si>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</si>
  <si>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</si>
  <si>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</si>
  <si>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</si>
  <si>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</si>
  <si>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</si>
  <si>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</si>
  <si>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</si>
  <si>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</si>
  <si>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</si>
  <si>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</si>
  <si>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</si>
  <si>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</si>
  <si>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</si>
  <si>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</si>
  <si>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</si>
  <si>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</si>
  <si>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</si>
  <si>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</si>
  <si>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</si>
  <si>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</si>
  <si>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</si>
  <si>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</si>
  <si>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</si>
  <si>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</si>
  <si>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</si>
  <si>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</si>
  <si>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</si>
  <si>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</si>
  <si>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</si>
  <si>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</si>
  <si>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</si>
  <si>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</si>
  <si>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</si>
  <si>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</si>
  <si>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</si>
  <si>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</si>
  <si>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</si>
  <si>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</si>
  <si>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</si>
  <si>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</si>
  <si>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</si>
  <si>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</si>
  <si>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</si>
  <si>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</si>
  <si>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</si>
  <si>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</si>
  <si>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</si>
  <si>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</si>
  <si>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</si>
  <si>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</si>
  <si>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</si>
  <si>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</si>
  <si>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</si>
  <si>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</si>
  <si>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</si>
  <si>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</si>
  <si>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</si>
  <si>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</si>
  <si>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</si>
  <si>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</si>
  <si>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</si>
  <si>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</si>
  <si>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</si>
  <si>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</si>
  <si>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</si>
  <si>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</si>
  <si>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</si>
  <si>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</si>
  <si>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</si>
  <si>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</si>
  <si>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</si>
  <si>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</si>
  <si>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</si>
  <si>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</si>
  <si>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</si>
  <si>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</si>
  <si>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</si>
  <si>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</si>
  <si>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</si>
  <si>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</si>
  <si>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</si>
  <si>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</si>
  <si>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</si>
  <si>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</si>
  <si>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</si>
  <si>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</si>
  <si>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</si>
  <si>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</si>
  <si>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</si>
  <si>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</si>
  <si>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</si>
  <si>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</si>
  <si>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</si>
  <si>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</si>
  <si>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</si>
  <si>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</si>
  <si>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</si>
  <si>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</si>
  <si>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</si>
  <si>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</si>
  <si>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</si>
  <si>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</si>
  <si>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</si>
  <si>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</si>
  <si>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</si>
  <si>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</si>
  <si>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</si>
  <si>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</si>
  <si>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</si>
  <si>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</si>
  <si>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</si>
  <si>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</si>
  <si>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</si>
  <si>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</si>
  <si>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</si>
  <si>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</si>
  <si>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</si>
  <si>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</si>
  <si>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</si>
  <si>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</si>
  <si>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</si>
  <si>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</si>
  <si>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</si>
  <si>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</si>
  <si>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</si>
  <si>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</si>
  <si>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</si>
  <si>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</si>
  <si>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</si>
  <si>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</si>
  <si>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</si>
  <si>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</si>
  <si>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</si>
  <si>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</si>
  <si>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</si>
  <si>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</si>
  <si>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</si>
  <si>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</si>
  <si>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</si>
  <si>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</si>
  <si>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</si>
  <si>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</si>
  <si>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</si>
  <si>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</si>
  <si>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</si>
  <si>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</si>
  <si>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</si>
  <si>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</si>
  <si>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</si>
  <si>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</si>
  <si>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</si>
  <si>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</si>
  <si>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</si>
  <si>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</si>
  <si>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</si>
  <si>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</si>
  <si>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</si>
  <si>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</si>
  <si>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</si>
  <si>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</si>
  <si>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</si>
  <si>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</si>
  <si>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</si>
  <si>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</si>
  <si>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</si>
  <si>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</si>
  <si>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</si>
  <si>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</si>
  <si>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</si>
  <si>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</si>
  <si>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</si>
  <si>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</si>
  <si>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</si>
  <si>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</si>
  <si>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</si>
  <si>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</si>
  <si>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</si>
  <si>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</si>
  <si>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</si>
  <si>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</si>
  <si>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</si>
  <si>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</si>
  <si>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</si>
  <si>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</si>
  <si>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</si>
  <si>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</si>
  <si>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</si>
  <si>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</si>
  <si>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</si>
  <si>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</si>
  <si>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</si>
  <si>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</si>
  <si>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</si>
  <si>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</si>
  <si>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</si>
  <si>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</si>
  <si>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</si>
  <si>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</si>
  <si>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</si>
  <si>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</si>
  <si>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</si>
  <si>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</si>
  <si>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</si>
  <si>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</si>
  <si>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</si>
  <si>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</si>
  <si>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</si>
  <si>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</si>
  <si>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</si>
  <si>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</si>
  <si>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</si>
  <si>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</si>
  <si>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</si>
  <si>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</si>
  <si>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</si>
  <si>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</si>
  <si>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</si>
  <si>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</si>
  <si>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</si>
  <si>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</si>
  <si>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</si>
  <si>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</si>
  <si>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</si>
  <si>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</si>
  <si>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</si>
  <si>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</si>
  <si>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</si>
  <si>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</si>
  <si>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</si>
  <si>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</si>
  <si>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</si>
  <si>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</si>
  <si>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</si>
  <si>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</si>
  <si>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</si>
  <si>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</si>
  <si>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</si>
  <si>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</si>
  <si>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</si>
  <si>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</si>
  <si>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</si>
  <si>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</si>
  <si>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</si>
  <si>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</si>
  <si>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</si>
  <si>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</si>
  <si>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</si>
  <si>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</si>
  <si>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</si>
  <si>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</si>
  <si>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</si>
  <si>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</si>
  <si>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</si>
  <si>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</si>
  <si>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</si>
  <si>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</si>
  <si>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</si>
  <si>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</si>
  <si>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</si>
  <si>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</si>
  <si>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</si>
  <si>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</si>
  <si>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</si>
  <si>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</si>
  <si>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</si>
  <si>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</si>
  <si>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</si>
  <si>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</si>
  <si>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</si>
  <si>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</si>
  <si>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</si>
  <si>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</si>
  <si>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</si>
  <si>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</si>
  <si>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</si>
  <si>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</si>
  <si>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</si>
  <si>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</si>
  <si>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</si>
  <si>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</si>
  <si>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</si>
  <si>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</si>
  <si>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</si>
  <si>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</si>
  <si>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</si>
  <si>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</si>
  <si>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</si>
  <si>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</si>
  <si>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</si>
  <si>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</si>
  <si>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</si>
  <si>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</si>
  <si>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</si>
  <si>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</si>
  <si>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</si>
  <si>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</si>
  <si>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</si>
  <si>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</si>
  <si>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</si>
  <si>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</si>
  <si>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</si>
  <si>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</si>
  <si>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</si>
  <si>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</si>
  <si>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</si>
  <si>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</si>
  <si>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</si>
  <si>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</si>
  <si>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</si>
  <si>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</si>
  <si>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</si>
  <si>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</si>
  <si>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</si>
  <si>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</si>
  <si>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</si>
  <si>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</si>
  <si>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</si>
  <si>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</si>
  <si>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</si>
  <si>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</si>
  <si>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</si>
  <si>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</si>
  <si>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</si>
  <si>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</si>
  <si>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</si>
  <si>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</si>
  <si>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</si>
  <si>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</si>
  <si>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</si>
  <si>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</si>
  <si>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</si>
  <si>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</si>
  <si>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</si>
  <si>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</si>
  <si>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</si>
  <si>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</si>
  <si>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</si>
  <si>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</si>
  <si>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</si>
  <si>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</si>
  <si>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</si>
  <si>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</si>
  <si>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</si>
  <si>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</si>
  <si>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</si>
  <si>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</si>
  <si>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</si>
  <si>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</si>
  <si>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</si>
  <si>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</si>
  <si>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</si>
  <si>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</si>
  <si>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</si>
  <si>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</si>
  <si>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</si>
  <si>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</si>
  <si>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</si>
  <si>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</si>
  <si>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</si>
  <si>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</si>
  <si>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</si>
  <si>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</si>
  <si>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</si>
  <si>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</si>
  <si>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</si>
  <si>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</si>
  <si>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</si>
  <si>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</si>
  <si>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</si>
  <si>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</si>
  <si>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</si>
  <si>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</si>
  <si>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</si>
  <si>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</si>
  <si>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</si>
  <si>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</si>
  <si>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</si>
  <si>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</si>
  <si>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</si>
  <si>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</si>
  <si>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</si>
  <si>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</si>
  <si>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</si>
  <si>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</si>
  <si>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</si>
  <si>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</si>
  <si>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</si>
  <si>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</si>
  <si>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</si>
  <si>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</si>
  <si>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</si>
  <si>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</si>
  <si>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</si>
  <si>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</si>
  <si>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</si>
  <si>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</si>
  <si>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</si>
  <si>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</si>
  <si>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</si>
  <si>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</si>
  <si>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</si>
  <si>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</si>
  <si>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</si>
  <si>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</si>
  <si>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</si>
  <si>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</si>
  <si>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</si>
  <si>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</si>
  <si>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</si>
  <si>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</si>
  <si>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</si>
  <si>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</si>
  <si>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</si>
  <si>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</si>
  <si>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</si>
  <si>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</si>
  <si>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</si>
  <si>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</si>
  <si>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</si>
  <si>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</si>
  <si>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</si>
  <si>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</si>
  <si>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</si>
  <si>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</si>
  <si>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</si>
  <si>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</si>
  <si>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</si>
  <si>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</si>
  <si>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</si>
  <si>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</si>
  <si>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</si>
  <si>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</si>
  <si>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</si>
  <si>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</si>
  <si>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</si>
  <si>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</si>
  <si>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</si>
  <si>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</si>
  <si>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</si>
  <si>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</si>
  <si>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</si>
  <si>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</si>
  <si>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</si>
  <si>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</si>
  <si>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</si>
  <si>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</si>
  <si>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</si>
  <si>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</si>
  <si>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</si>
  <si>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</si>
  <si>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</si>
  <si>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</si>
  <si>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</si>
  <si>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</si>
  <si>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</si>
  <si>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</si>
  <si>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</si>
  <si>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</si>
  <si>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</si>
  <si>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</si>
  <si>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</si>
  <si>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</si>
  <si>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</si>
  <si>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</si>
  <si>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</si>
  <si>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</si>
  <si>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</si>
  <si>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</si>
  <si>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</si>
  <si>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</si>
  <si>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</si>
  <si>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</si>
  <si>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</si>
  <si>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</si>
  <si>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</si>
  <si>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</si>
  <si>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</si>
  <si>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</si>
  <si>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</si>
  <si>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</si>
  <si>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</si>
  <si>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</si>
  <si>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</si>
  <si>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</si>
  <si>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</si>
  <si>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</si>
  <si>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</si>
  <si>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</si>
  <si>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</si>
  <si>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</si>
  <si>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</si>
  <si>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</si>
  <si>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</si>
  <si>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</si>
  <si>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</si>
  <si>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</si>
  <si>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</si>
  <si>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</si>
  <si>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</si>
  <si>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</si>
  <si>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</si>
  <si>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</si>
  <si>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</si>
  <si>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</si>
  <si>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</si>
  <si>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</si>
  <si>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</si>
  <si>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</si>
  <si>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</si>
  <si>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</si>
  <si>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</si>
  <si>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</si>
  <si>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</si>
  <si>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</si>
  <si>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</si>
  <si>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</si>
  <si>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</si>
  <si>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</si>
  <si>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</si>
  <si>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</si>
  <si>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</si>
  <si>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</si>
  <si>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</si>
  <si>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</si>
  <si>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</si>
  <si>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</si>
  <si>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</si>
  <si>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</si>
  <si>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</si>
  <si>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</si>
  <si>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</si>
  <si>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</si>
  <si>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</si>
  <si>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</si>
  <si>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</si>
  <si>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</si>
  <si>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</si>
  <si>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</si>
  <si>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</si>
  <si>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</si>
  <si>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</si>
  <si>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</si>
  <si>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</si>
  <si>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</si>
  <si>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</si>
  <si>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</si>
  <si>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</si>
  <si>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</si>
  <si>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</si>
  <si>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</si>
  <si>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</si>
  <si>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</si>
  <si>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</si>
  <si>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</si>
  <si>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</si>
  <si>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</si>
  <si>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</si>
  <si>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</si>
  <si>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</si>
  <si>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</si>
  <si>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</si>
  <si>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</si>
  <si>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</si>
  <si>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</si>
  <si>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</si>
  <si>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</si>
  <si>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</si>
  <si>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</si>
  <si>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</si>
  <si>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</si>
  <si>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</si>
  <si>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</si>
  <si>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</si>
  <si>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</si>
  <si>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</si>
  <si>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</si>
  <si>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</si>
  <si>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</si>
  <si>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</si>
  <si>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</si>
  <si>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</si>
  <si>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</si>
  <si>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</si>
  <si>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</si>
  <si>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</si>
  <si>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</si>
  <si>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</si>
  <si>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</si>
  <si>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</si>
  <si>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</si>
  <si>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</si>
  <si>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</si>
  <si>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</si>
  <si>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</si>
  <si>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</si>
  <si>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</si>
  <si>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</si>
  <si>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</si>
  <si>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</si>
  <si>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</si>
  <si>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</si>
  <si>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</si>
  <si>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</si>
  <si>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</si>
  <si>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</si>
  <si>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</si>
  <si>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</si>
  <si>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</si>
  <si>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</si>
  <si>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</si>
  <si>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</si>
  <si>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</si>
  <si>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</si>
  <si>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</si>
  <si>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</si>
  <si>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</si>
  <si>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</si>
  <si>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</si>
  <si>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</si>
  <si>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</si>
  <si>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</si>
  <si>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</si>
  <si>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</si>
  <si>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</si>
  <si>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</si>
  <si>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</si>
  <si>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</si>
  <si>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</si>
  <si>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</si>
  <si>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</si>
  <si>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</si>
  <si>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</si>
  <si>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</si>
  <si>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</si>
  <si>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</si>
  <si>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</si>
  <si>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</si>
  <si>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</si>
  <si>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</si>
  <si>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</si>
  <si>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</si>
  <si>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</si>
  <si>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</si>
  <si>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</si>
  <si>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</si>
  <si>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</si>
  <si>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</si>
  <si>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</si>
  <si>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</si>
  <si>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</si>
  <si>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</si>
  <si>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</si>
  <si>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</si>
  <si>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</si>
  <si>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</si>
  <si>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</si>
  <si>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</si>
  <si>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</si>
  <si>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</si>
  <si>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</si>
  <si>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</si>
  <si>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</si>
  <si>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</si>
  <si>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</si>
  <si>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</si>
  <si>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</si>
  <si>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</si>
  <si>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</si>
  <si>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</si>
  <si>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</si>
  <si>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</si>
  <si>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</si>
  <si>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</si>
  <si>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</si>
  <si>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</si>
  <si>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</si>
  <si>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</si>
  <si>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</si>
  <si>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</si>
  <si>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</si>
  <si>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</si>
  <si>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</si>
  <si>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</si>
  <si>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</si>
  <si>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</si>
  <si>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</si>
  <si>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</si>
  <si>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</si>
  <si>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</si>
  <si>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</si>
  <si>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</si>
  <si>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</si>
  <si>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</si>
  <si>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</si>
  <si>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</si>
  <si>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</si>
  <si>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</si>
  <si>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</si>
  <si>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</si>
  <si>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</si>
  <si>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</si>
  <si>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</si>
  <si>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</si>
  <si>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</si>
  <si>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</si>
  <si>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</si>
  <si>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</si>
  <si>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</si>
  <si>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</si>
  <si>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</si>
  <si>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</si>
  <si>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</si>
  <si>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</si>
  <si>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</si>
  <si>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</si>
  <si>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</si>
  <si>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</si>
  <si>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</si>
  <si>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</si>
  <si>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</si>
  <si>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</si>
  <si>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</si>
  <si>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</si>
  <si>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</si>
  <si>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</si>
  <si>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</si>
  <si>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</si>
  <si>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</si>
  <si>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</si>
  <si>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</si>
  <si>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</si>
  <si>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</si>
  <si>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</si>
  <si>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</si>
  <si>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</si>
  <si>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</si>
  <si>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</si>
  <si>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</si>
  <si>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</si>
  <si>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</si>
  <si>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</si>
  <si>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</si>
  <si>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</si>
  <si>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</si>
  <si>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</si>
  <si>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</si>
  <si>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</si>
  <si>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</si>
  <si>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</si>
  <si>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</si>
  <si>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</si>
  <si>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</si>
  <si>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</si>
  <si>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</si>
  <si>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</si>
  <si>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</si>
  <si>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</si>
  <si>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</si>
  <si>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</si>
  <si>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</si>
  <si>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</si>
  <si>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</si>
  <si>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</si>
  <si>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</si>
  <si>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</si>
  <si>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</si>
  <si>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</si>
  <si>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</si>
  <si>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</si>
  <si>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</si>
  <si>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</si>
  <si>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</si>
  <si>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</si>
  <si>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</si>
  <si>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</si>
  <si>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</si>
  <si>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</si>
  <si>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</si>
  <si>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</si>
  <si>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</si>
  <si>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</si>
  <si>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</si>
  <si>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</si>
  <si>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</si>
  <si>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</si>
  <si>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</si>
  <si>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</si>
  <si>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</si>
  <si>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</si>
  <si>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</si>
  <si>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</si>
  <si>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</si>
  <si>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</si>
  <si>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</si>
  <si>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</si>
  <si>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</si>
  <si>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</si>
  <si>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</si>
  <si>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</si>
  <si>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</si>
  <si>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</si>
  <si>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</si>
  <si>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</si>
  <si>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</si>
  <si>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</si>
  <si>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</si>
  <si>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</si>
  <si>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</si>
  <si>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</si>
  <si>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</si>
  <si>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</si>
  <si>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</si>
  <si>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</si>
  <si>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</si>
  <si>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</si>
  <si>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</si>
  <si>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</si>
  <si>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</si>
  <si>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</si>
  <si>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</si>
  <si>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</si>
  <si>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</si>
  <si>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</si>
  <si>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</si>
  <si>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</si>
  <si>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</si>
  <si>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</si>
  <si>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</si>
  <si>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</si>
  <si>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</si>
  <si>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</si>
  <si>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</si>
  <si>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</si>
  <si>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</si>
  <si>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</si>
  <si>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</si>
  <si>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</si>
  <si>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</si>
  <si>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</si>
  <si>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</si>
  <si>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</si>
  <si>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</si>
  <si>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</si>
  <si>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</si>
  <si>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</si>
  <si>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</si>
  <si>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</si>
  <si>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</si>
  <si>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</si>
  <si>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</si>
  <si>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</si>
  <si>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</si>
  <si>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</si>
  <si>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</si>
  <si>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</si>
  <si>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</si>
  <si>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</si>
  <si>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</si>
  <si>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</si>
  <si>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</si>
  <si>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</si>
  <si>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</si>
  <si>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</si>
  <si>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</si>
  <si>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</si>
  <si>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</si>
  <si>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</si>
  <si>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</si>
  <si>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</si>
  <si>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</si>
  <si>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</si>
  <si>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</si>
  <si>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</si>
  <si>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</si>
  <si>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</si>
  <si>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</si>
  <si>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</si>
  <si>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</si>
  <si>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</si>
  <si>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</si>
  <si>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</si>
  <si>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</si>
  <si>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</si>
  <si>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</si>
  <si>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</si>
  <si>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</si>
  <si>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</si>
  <si>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</si>
  <si>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</si>
  <si>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</si>
  <si>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</si>
  <si>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</si>
  <si>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</si>
  <si>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</si>
  <si>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</si>
  <si>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</si>
  <si>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</si>
  <si>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</si>
  <si>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</si>
  <si>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</si>
  <si>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</si>
  <si>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</si>
  <si>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</si>
  <si>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</si>
  <si>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</si>
  <si>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</si>
  <si>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</si>
  <si>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</si>
  <si>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</si>
  <si>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</si>
  <si>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</si>
  <si>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</si>
  <si>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</si>
  <si>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</si>
  <si>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</si>
  <si>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</si>
  <si>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</si>
  <si>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</si>
  <si>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</si>
  <si>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</si>
  <si>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</si>
  <si>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</si>
  <si>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</si>
  <si>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</si>
  <si>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</si>
  <si>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</si>
  <si>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</si>
  <si>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</si>
  <si>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</si>
  <si>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</si>
  <si>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</si>
  <si>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</si>
  <si>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</si>
  <si>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</si>
  <si>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</si>
  <si>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</si>
  <si>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</si>
  <si>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</si>
  <si>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</si>
  <si>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</si>
  <si>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</si>
  <si>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</si>
  <si>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</si>
  <si>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</si>
  <si>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</si>
  <si>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</si>
  <si>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</si>
  <si>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</si>
  <si>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</si>
  <si>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</si>
  <si>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</si>
  <si>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</si>
  <si>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</si>
  <si>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</si>
  <si>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</si>
  <si>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</si>
  <si>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</si>
  <si>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</si>
  <si>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</si>
  <si>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</si>
  <si>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</si>
  <si>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</si>
  <si>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</si>
  <si>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</si>
  <si>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</si>
  <si>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</si>
  <si>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</si>
  <si>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</si>
  <si>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</si>
  <si>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</si>
  <si>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</si>
  <si>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</si>
  <si>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</si>
  <si>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</si>
  <si>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</si>
  <si>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</si>
  <si>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</si>
  <si>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</si>
  <si>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</si>
  <si>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</si>
  <si>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</si>
  <si>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</si>
  <si>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</si>
  <si>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</si>
  <si>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</si>
  <si>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</si>
  <si>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</si>
  <si>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</si>
  <si>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</si>
  <si>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</si>
  <si>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</si>
  <si>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</si>
  <si>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</si>
  <si>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</si>
  <si>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</si>
  <si>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</si>
  <si>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</si>
  <si>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</si>
  <si>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</si>
  <si>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</si>
  <si>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</si>
  <si>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</si>
  <si>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</si>
  <si>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</si>
  <si>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</si>
  <si>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</si>
  <si>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</si>
  <si>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</si>
  <si>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</si>
  <si>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</si>
  <si>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</si>
  <si>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</si>
  <si>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</si>
  <si>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</si>
  <si>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</si>
  <si>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</si>
  <si>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</si>
  <si>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</si>
  <si>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</si>
  <si>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</si>
  <si>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</si>
  <si>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</si>
  <si>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</si>
  <si>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</si>
  <si>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</si>
  <si>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</si>
  <si>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</si>
  <si>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</si>
  <si>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</si>
  <si>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</si>
  <si>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</si>
  <si>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</si>
  <si>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</si>
  <si>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</si>
  <si>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</si>
  <si>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</si>
  <si>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</si>
  <si>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</si>
  <si>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</si>
  <si>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</si>
  <si>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</si>
  <si>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</si>
  <si>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</si>
  <si>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</si>
  <si>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</si>
  <si>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</si>
  <si>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</si>
  <si>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</si>
  <si>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</si>
  <si>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</si>
  <si>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</si>
  <si>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</si>
  <si>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</si>
  <si>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</si>
  <si>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</si>
  <si>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</si>
  <si>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</si>
  <si>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</si>
  <si>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</si>
  <si>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</si>
  <si>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</si>
  <si>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</si>
  <si>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</si>
  <si>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</si>
  <si>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</si>
  <si>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</si>
  <si>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</si>
  <si>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</si>
  <si>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</si>
  <si>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</si>
  <si>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</si>
  <si>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</si>
  <si>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</si>
  <si>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</si>
  <si>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</si>
  <si>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</si>
  <si>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</si>
  <si>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</si>
  <si>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</si>
  <si>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</si>
  <si>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</si>
  <si>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</si>
  <si>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</si>
  <si>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</si>
  <si>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</si>
  <si>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</si>
  <si>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</si>
  <si>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</si>
  <si>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</si>
  <si>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</si>
  <si>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</si>
  <si>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</si>
  <si>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</si>
  <si>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</si>
  <si>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</si>
  <si>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</si>
  <si>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</si>
  <si>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</si>
  <si>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</si>
  <si>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</si>
  <si>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</si>
  <si>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</si>
  <si>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</si>
  <si>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</si>
  <si>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</si>
  <si>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</si>
  <si>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</si>
  <si>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</si>
  <si>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</si>
  <si>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</si>
  <si>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</si>
  <si>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</si>
  <si>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</si>
  <si>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</si>
  <si>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</si>
  <si>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</si>
  <si>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</si>
  <si>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</si>
  <si>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</si>
  <si>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</si>
  <si>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</si>
  <si>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</si>
  <si>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</si>
  <si>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</si>
  <si>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</si>
  <si>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</si>
  <si>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</si>
  <si>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</si>
  <si>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</si>
  <si>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</si>
  <si>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</si>
  <si>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</si>
  <si>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</si>
  <si>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</si>
  <si>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</si>
  <si>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</si>
  <si>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</si>
  <si>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</si>
  <si>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</si>
  <si>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</si>
  <si>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</si>
  <si>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</si>
  <si>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</si>
  <si>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</si>
  <si>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</si>
  <si>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</si>
  <si>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</si>
  <si>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</si>
  <si>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</si>
  <si>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</si>
  <si>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</si>
  <si>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</si>
  <si>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</si>
  <si>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</si>
  <si>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</si>
  <si>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</si>
  <si>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</si>
  <si>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</si>
  <si>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</si>
  <si>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</si>
  <si>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</si>
  <si>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</si>
  <si>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</si>
  <si>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</si>
  <si>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</si>
  <si>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</si>
  <si>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</si>
  <si>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</si>
  <si>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</si>
  <si>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</si>
  <si>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</si>
  <si>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</si>
  <si>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</si>
  <si>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</si>
  <si>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</si>
  <si>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</si>
  <si>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</si>
  <si>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</si>
  <si>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</si>
  <si>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</si>
  <si>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</si>
  <si>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</si>
  <si>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</si>
  <si>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</si>
  <si>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</si>
  <si>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</si>
  <si>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</si>
  <si>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</si>
  <si>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</si>
  <si>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</si>
  <si>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</si>
  <si>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</si>
  <si>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</si>
  <si>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</si>
  <si>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</si>
  <si>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</si>
  <si>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</si>
  <si>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</si>
  <si>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</si>
  <si>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</si>
  <si>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</si>
  <si>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</si>
  <si>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</si>
  <si>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</si>
  <si>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</si>
  <si>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</si>
  <si>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</si>
  <si>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</si>
  <si>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</si>
  <si>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</si>
  <si>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</si>
  <si>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</si>
  <si>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</si>
  <si>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</si>
  <si>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</si>
  <si>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</si>
  <si>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</si>
  <si>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</si>
  <si>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</si>
  <si>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</si>
  <si>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</si>
  <si>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</si>
  <si>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</si>
  <si>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</si>
  <si>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</si>
  <si>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</si>
  <si>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</si>
  <si>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</si>
  <si>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</si>
  <si>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</si>
  <si>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</si>
  <si>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</si>
  <si>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</si>
  <si>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</si>
  <si>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</si>
  <si>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</si>
  <si>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</si>
  <si>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</si>
  <si>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</si>
  <si>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</si>
  <si>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</si>
  <si>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</si>
  <si>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</si>
  <si>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</si>
  <si>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</si>
  <si>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</si>
  <si>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</si>
  <si>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</si>
  <si>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</si>
  <si>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</si>
  <si>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</si>
  <si>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</si>
  <si>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</si>
  <si>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</si>
  <si>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</si>
  <si>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</si>
  <si>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</si>
  <si>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</si>
  <si>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</si>
  <si>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</si>
  <si>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</si>
  <si>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</si>
  <si>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</si>
  <si>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</si>
  <si>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</si>
  <si>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</si>
  <si>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</si>
  <si>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</si>
  <si>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</si>
  <si>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</si>
  <si>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</si>
  <si>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</si>
  <si>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</si>
  <si>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</si>
  <si>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</si>
  <si>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</si>
  <si>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</si>
  <si>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</si>
  <si>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</si>
  <si>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</si>
  <si>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</si>
  <si>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</si>
  <si>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</si>
  <si>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</si>
  <si>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</si>
  <si>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</si>
  <si>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</si>
  <si>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</si>
  <si>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</si>
  <si>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</si>
  <si>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</si>
  <si>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</si>
  <si>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</si>
  <si>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</si>
  <si>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</si>
  <si>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</si>
  <si>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</si>
  <si>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</si>
  <si>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</si>
  <si>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</si>
  <si>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</si>
  <si>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</si>
  <si>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</si>
  <si>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</si>
  <si>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</si>
  <si>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</si>
  <si>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</si>
  <si>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</si>
  <si>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</si>
  <si>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</si>
  <si>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</si>
  <si>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</si>
  <si>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</si>
  <si>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</si>
  <si>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</si>
  <si>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</si>
  <si>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</si>
  <si>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</si>
  <si>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</si>
  <si>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</si>
  <si>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</si>
  <si>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</si>
  <si>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</si>
  <si>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</si>
  <si>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</si>
  <si>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</si>
  <si>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</si>
  <si>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</si>
  <si>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</si>
  <si>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</si>
  <si>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</si>
  <si>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</si>
  <si>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</si>
  <si>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</si>
  <si>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</si>
  <si>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</si>
  <si>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</si>
  <si>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</si>
  <si>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</si>
  <si>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</si>
  <si>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</si>
  <si>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</si>
  <si>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</si>
  <si>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</si>
  <si>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</si>
  <si>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</si>
  <si>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</si>
  <si>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</si>
  <si>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</si>
  <si>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</si>
  <si>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</si>
  <si>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</si>
  <si>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</si>
  <si>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</si>
  <si>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</si>
  <si>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</si>
  <si>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</si>
  <si>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</si>
  <si>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</si>
  <si>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</si>
  <si>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</si>
  <si>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</si>
  <si>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</si>
  <si>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</si>
  <si>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</si>
  <si>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</si>
  <si>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</si>
  <si>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</si>
  <si>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</si>
  <si>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</si>
  <si>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</si>
  <si>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</si>
  <si>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</si>
  <si>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</si>
  <si>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</si>
  <si>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</si>
  <si>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</si>
  <si>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</si>
  <si>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</si>
  <si>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</si>
  <si>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</si>
  <si>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</si>
  <si>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</si>
  <si>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</si>
  <si>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</si>
  <si>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</si>
  <si>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</si>
  <si>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</si>
  <si>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</si>
  <si>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</si>
  <si>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</si>
  <si>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</si>
  <si>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</si>
  <si>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</si>
  <si>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</si>
  <si>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</si>
  <si>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</si>
  <si>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</si>
  <si>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</si>
  <si>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</si>
  <si>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</si>
  <si>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</si>
  <si>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</si>
  <si>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</si>
  <si>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</si>
  <si>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</si>
  <si>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</si>
  <si>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</si>
  <si>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</si>
  <si>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</si>
  <si>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</si>
  <si>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</si>
  <si>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</si>
  <si>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</si>
  <si>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</si>
  <si>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</si>
  <si>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</si>
  <si>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</si>
  <si>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</si>
  <si>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</si>
  <si>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</si>
  <si>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</si>
  <si>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</si>
  <si>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</si>
  <si>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</si>
  <si>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</si>
  <si>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</si>
  <si>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</si>
  <si>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</si>
  <si>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</si>
  <si>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</si>
  <si>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</si>
  <si>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</si>
  <si>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</si>
  <si>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</si>
  <si>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</si>
  <si>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</si>
  <si>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</si>
  <si>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</si>
  <si>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</si>
  <si>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</si>
  <si>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</si>
  <si>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</si>
  <si>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</si>
  <si>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</si>
  <si>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</si>
  <si>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</si>
  <si>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</si>
  <si>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</si>
  <si>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</si>
  <si>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</si>
  <si>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</si>
  <si>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</si>
  <si>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</si>
  <si>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</si>
  <si>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</si>
  <si>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</si>
  <si>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</si>
  <si>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</si>
  <si>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</si>
  <si>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</si>
  <si>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</si>
  <si>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</si>
  <si>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</si>
  <si>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</si>
  <si>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</si>
  <si>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</si>
  <si>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</si>
  <si>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</si>
  <si>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</si>
  <si>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</si>
  <si>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</si>
  <si>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</si>
  <si>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</si>
  <si>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</si>
  <si>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</si>
  <si>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</si>
  <si>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</si>
  <si>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</si>
  <si>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</si>
  <si>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</si>
  <si>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</si>
  <si>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</si>
  <si>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</si>
  <si>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</si>
  <si>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</si>
  <si>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</si>
  <si>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</si>
  <si>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</si>
  <si>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</si>
  <si>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</si>
  <si>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</si>
  <si>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</si>
  <si>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</si>
  <si>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</si>
  <si>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</si>
  <si>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</si>
  <si>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</si>
  <si>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</si>
  <si>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</si>
  <si>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</si>
  <si>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</si>
  <si>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</si>
  <si>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</si>
  <si>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</si>
  <si>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</si>
  <si>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</si>
  <si>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</si>
  <si>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</si>
  <si>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</si>
  <si>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</si>
  <si>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</si>
  <si>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</si>
  <si>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</si>
  <si>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</si>
  <si>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</si>
  <si>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</si>
  <si>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</si>
  <si>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</si>
  <si>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</si>
  <si>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</si>
  <si>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</si>
  <si>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</si>
  <si>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</si>
  <si>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</si>
  <si>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</si>
  <si>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</si>
  <si>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</si>
  <si>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</si>
  <si>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</si>
  <si>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</si>
  <si>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</si>
  <si>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</si>
  <si>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</si>
  <si>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</si>
  <si>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</si>
  <si>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</si>
  <si>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</si>
  <si>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</si>
  <si>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</si>
  <si>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</si>
  <si>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</si>
  <si>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</si>
  <si>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</si>
  <si>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</si>
  <si>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</si>
  <si>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</si>
  <si>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</si>
  <si>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</si>
  <si>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</si>
  <si>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</si>
  <si>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</si>
  <si>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</si>
  <si>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</si>
  <si>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</si>
  <si>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</si>
  <si>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</si>
  <si>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</si>
  <si>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</si>
  <si>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</si>
  <si>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</si>
  <si>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</si>
  <si>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</si>
  <si>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</si>
  <si>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</si>
  <si>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</si>
  <si>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</si>
  <si>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</si>
  <si>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</si>
  <si>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</si>
  <si>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</si>
  <si>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</si>
  <si>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</si>
  <si>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</si>
  <si>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</si>
  <si>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</si>
  <si>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</si>
  <si>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</si>
  <si>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</si>
  <si>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</si>
  <si>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</si>
  <si>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</si>
  <si>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</si>
  <si>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</si>
  <si>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</si>
  <si>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</si>
  <si>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</si>
  <si>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</si>
  <si>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</si>
  <si>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</si>
  <si>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</si>
  <si>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</si>
  <si>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</si>
  <si>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</si>
  <si>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</si>
  <si>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</si>
  <si>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</si>
  <si>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</si>
  <si>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</si>
  <si>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</si>
  <si>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</si>
  <si>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</si>
  <si>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</si>
  <si>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</si>
  <si>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</si>
  <si>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</si>
  <si>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</si>
  <si>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</si>
  <si>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</si>
  <si>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</si>
  <si>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</si>
  <si>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</si>
  <si>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</si>
  <si>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</si>
  <si>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</si>
  <si>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</si>
  <si>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</si>
  <si>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</si>
  <si>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</si>
  <si>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</si>
  <si>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</si>
  <si>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</si>
  <si>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</si>
  <si>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</si>
  <si>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</si>
  <si>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</si>
  <si>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</si>
  <si>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</si>
  <si>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</si>
  <si>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</si>
  <si>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</si>
  <si>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</si>
  <si>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</si>
  <si>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</si>
  <si>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</si>
  <si>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</si>
  <si>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</si>
  <si>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</si>
  <si>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</si>
  <si>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</si>
  <si>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</si>
  <si>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</si>
  <si>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</si>
  <si>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</si>
  <si>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</si>
  <si>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</si>
  <si>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</si>
  <si>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</si>
  <si>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</si>
  <si>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</si>
  <si>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</si>
  <si>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</si>
  <si>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</si>
  <si>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</si>
  <si>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</si>
  <si>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</si>
  <si>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</si>
  <si>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</si>
  <si>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</si>
  <si>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</si>
  <si>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</si>
  <si>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</si>
  <si>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</si>
  <si>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</si>
  <si>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</si>
  <si>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</si>
  <si>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</si>
  <si>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</si>
  <si>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</si>
  <si>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</si>
  <si>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</si>
  <si>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</si>
  <si>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</si>
  <si>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</si>
  <si>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</si>
  <si>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</si>
  <si>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</si>
  <si>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</si>
  <si>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</si>
  <si>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</si>
  <si>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</si>
  <si>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</si>
  <si>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</si>
  <si>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</si>
  <si>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</si>
  <si>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</si>
  <si>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</si>
  <si>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</si>
  <si>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</si>
  <si>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</si>
  <si>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</si>
  <si>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</si>
  <si>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</si>
  <si>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</si>
  <si>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</si>
  <si>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</si>
  <si>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</si>
  <si>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</si>
  <si>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</si>
  <si>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</si>
  <si>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</si>
  <si>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</si>
  <si>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</si>
  <si>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</si>
  <si>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</si>
  <si>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</si>
  <si>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</si>
  <si>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</si>
  <si>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</si>
  <si>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</si>
  <si>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</si>
  <si>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</si>
  <si>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</si>
  <si>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</si>
  <si>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</si>
  <si>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</si>
  <si>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</si>
  <si>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</si>
  <si>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</si>
  <si>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</si>
  <si>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</si>
  <si>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</si>
  <si>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</si>
  <si>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</si>
  <si>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</si>
  <si>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</si>
  <si>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</si>
  <si>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</si>
  <si>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</si>
  <si>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</si>
  <si>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</si>
  <si>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</si>
  <si>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</si>
  <si>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</si>
  <si>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</si>
  <si>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</si>
  <si>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</si>
  <si>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</si>
  <si>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</si>
  <si>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</si>
  <si>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</si>
  <si>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</si>
  <si>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</si>
  <si>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</si>
  <si>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</si>
  <si>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</si>
  <si>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</si>
  <si>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</si>
  <si>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</si>
  <si>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</si>
  <si>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</si>
  <si>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</si>
  <si>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</si>
  <si>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</si>
  <si>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</si>
  <si>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</si>
  <si>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</si>
  <si>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</si>
  <si>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</si>
  <si>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</si>
  <si>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</si>
  <si>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</si>
  <si>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</si>
  <si>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</si>
  <si>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</si>
  <si>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</si>
  <si>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</si>
  <si>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</si>
  <si>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</si>
  <si>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</si>
  <si>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</si>
  <si>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</si>
  <si>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</si>
  <si>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</si>
  <si>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</si>
  <si>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</si>
  <si>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</si>
  <si>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</si>
  <si>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</si>
  <si>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</si>
  <si>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</si>
  <si>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</si>
  <si>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</si>
  <si>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</si>
  <si>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</si>
  <si>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</si>
  <si>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</si>
  <si>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</si>
  <si>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</si>
  <si>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</si>
  <si>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</si>
  <si>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</si>
  <si>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</si>
  <si>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</si>
  <si>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</si>
  <si>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</si>
  <si>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</si>
  <si>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</si>
  <si>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</si>
  <si>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</si>
  <si>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</si>
  <si>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</si>
  <si>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</si>
  <si>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</si>
  <si>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</si>
  <si>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</si>
  <si>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</si>
  <si>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</si>
  <si>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</si>
  <si>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</si>
  <si>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</si>
  <si>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</si>
  <si>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</si>
  <si>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</si>
  <si>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</si>
  <si>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</si>
  <si>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</si>
  <si>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</si>
  <si>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</si>
  <si>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</si>
  <si>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</si>
  <si>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</si>
  <si>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</si>
  <si>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</si>
  <si>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</si>
  <si>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</si>
  <si>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</si>
  <si>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</si>
  <si>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</si>
  <si>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</si>
  <si>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</si>
  <si>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</si>
  <si>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</si>
  <si>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</si>
  <si>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</si>
  <si>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</si>
  <si>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</si>
  <si>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</si>
  <si>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</si>
  <si>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</si>
  <si>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</si>
  <si>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</si>
  <si>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</si>
  <si>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</si>
  <si>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</si>
  <si>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</si>
  <si>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</si>
  <si>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</si>
  <si>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</si>
  <si>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</si>
  <si>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</si>
  <si>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</si>
  <si>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</si>
  <si>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</si>
  <si>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</si>
  <si>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</si>
  <si>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</si>
  <si>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</si>
  <si>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</si>
  <si>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</si>
  <si>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</si>
  <si>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</si>
  <si>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</si>
  <si>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</si>
  <si>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</si>
  <si>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</si>
  <si>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</si>
  <si>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</si>
  <si>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</si>
  <si>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</si>
  <si>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</si>
  <si>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</si>
  <si>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</si>
  <si>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</si>
  <si>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</si>
  <si>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</si>
  <si>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</si>
  <si>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</si>
  <si>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</si>
  <si>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</si>
  <si>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</si>
  <si>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</si>
  <si>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</si>
  <si>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</si>
  <si>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</si>
  <si>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</si>
  <si>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</si>
  <si>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</si>
  <si>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</si>
  <si>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</si>
  <si>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</si>
  <si>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</si>
  <si>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</si>
  <si>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</si>
  <si>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</si>
  <si>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</si>
  <si>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</si>
  <si>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</si>
  <si>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</si>
  <si>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</si>
  <si>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</si>
  <si>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</si>
  <si>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</si>
  <si>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</si>
  <si>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</si>
  <si>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</si>
  <si>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</si>
  <si>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</si>
  <si>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</si>
  <si>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</si>
  <si>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</si>
  <si>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</si>
  <si>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</si>
  <si>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</si>
  <si>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</si>
  <si>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</si>
  <si>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</si>
  <si>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</si>
  <si>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</si>
  <si>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</si>
  <si>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</si>
  <si>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</si>
  <si>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</si>
  <si>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</si>
  <si>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</si>
  <si>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</si>
  <si>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</si>
  <si>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</si>
  <si>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</si>
  <si>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</si>
  <si>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</si>
  <si>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</si>
  <si>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</si>
  <si>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</si>
  <si>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</si>
  <si>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</si>
  <si>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</si>
  <si>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</si>
  <si>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</si>
  <si>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</si>
  <si>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</si>
  <si>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</si>
  <si>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</si>
  <si>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</si>
  <si>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</si>
  <si>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</si>
  <si>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</si>
  <si>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</si>
  <si>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</si>
  <si>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</si>
  <si>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</si>
  <si>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</si>
  <si>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</si>
  <si>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</si>
  <si>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</si>
  <si>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</si>
  <si>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</si>
  <si>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</si>
  <si>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</si>
  <si>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</si>
  <si>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</si>
  <si>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</si>
  <si>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</si>
  <si>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</si>
  <si>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</si>
  <si>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</si>
  <si>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</si>
  <si>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</si>
  <si>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</si>
  <si>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</si>
  <si>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</si>
  <si>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</si>
  <si>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</si>
  <si>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</si>
  <si>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</si>
  <si>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</si>
  <si>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</si>
  <si>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</si>
  <si>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</si>
  <si>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</si>
  <si>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</si>
  <si>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</si>
  <si>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</si>
  <si>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</si>
  <si>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</si>
  <si>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</si>
  <si>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</si>
  <si>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</si>
  <si>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</si>
  <si>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</si>
  <si>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</si>
  <si>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</si>
  <si>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</si>
  <si>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</si>
  <si>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</si>
  <si>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</si>
  <si>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</si>
  <si>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</si>
  <si>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</si>
  <si>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</si>
  <si>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</si>
  <si>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</si>
  <si>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</si>
  <si>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</si>
  <si>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</si>
  <si>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</si>
  <si>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</si>
  <si>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</si>
  <si>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</si>
  <si>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</si>
  <si>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</si>
  <si>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</si>
  <si>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</si>
  <si>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</si>
  <si>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</si>
  <si>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</si>
  <si>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</si>
  <si>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</si>
  <si>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</si>
  <si>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</si>
  <si>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</si>
  <si>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</si>
  <si>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</si>
  <si>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</si>
  <si>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</si>
  <si>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</si>
  <si>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</si>
  <si>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</si>
  <si>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</si>
  <si>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</si>
  <si>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</si>
  <si>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</si>
  <si>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</si>
  <si>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</si>
  <si>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</si>
  <si>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</si>
  <si>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</si>
  <si>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</si>
  <si>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</si>
  <si>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</si>
  <si>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</si>
  <si>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</si>
  <si>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</si>
  <si>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</si>
  <si>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</si>
  <si>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</si>
  <si>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</si>
  <si>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</si>
  <si>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</si>
  <si>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</si>
  <si>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</si>
  <si>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</si>
  <si>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</si>
  <si>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</si>
  <si>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</si>
  <si>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</si>
  <si>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</si>
  <si>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</si>
  <si>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</si>
  <si>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</si>
  <si>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</si>
  <si>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</si>
  <si>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</si>
  <si>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</si>
  <si>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</si>
  <si>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</si>
  <si>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</si>
  <si>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</si>
  <si>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</si>
  <si>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</si>
  <si>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</si>
  <si>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</si>
  <si>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</si>
  <si>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</si>
  <si>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</si>
  <si>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</si>
  <si>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</si>
  <si>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</si>
  <si>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</si>
  <si>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</si>
  <si>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</si>
  <si>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</si>
  <si>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</si>
  <si>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</si>
  <si>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</si>
  <si>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</si>
  <si>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</si>
  <si>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</si>
  <si>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</si>
  <si>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</si>
  <si>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</si>
  <si>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</si>
  <si>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</si>
  <si>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</si>
  <si>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</si>
  <si>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</si>
  <si>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</si>
  <si>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</si>
  <si>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</si>
  <si>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</si>
  <si>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</si>
  <si>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</si>
  <si>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</si>
  <si>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</si>
  <si>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</si>
  <si>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</si>
  <si>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</si>
  <si>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</si>
  <si>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</si>
  <si>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</si>
  <si>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</si>
  <si>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</si>
  <si>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</si>
  <si>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</si>
  <si>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</si>
  <si>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</si>
  <si>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</si>
  <si>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</si>
  <si>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</si>
  <si>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</si>
  <si>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</si>
  <si>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</si>
  <si>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</si>
  <si>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</si>
  <si>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</si>
  <si>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</si>
  <si>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</si>
  <si>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</si>
  <si>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</si>
  <si>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</si>
  <si>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</si>
  <si>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</si>
  <si>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</si>
  <si>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</si>
  <si>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</si>
  <si>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</si>
  <si>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</si>
  <si>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</si>
  <si>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</si>
  <si>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</si>
  <si>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</si>
  <si>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</si>
  <si>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</si>
  <si>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</si>
  <si>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</si>
  <si>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</si>
  <si>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</si>
  <si>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</si>
  <si>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</si>
  <si>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</si>
  <si>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</si>
  <si>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</si>
  <si>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</si>
  <si>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</si>
  <si>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</si>
  <si>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</si>
  <si>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</si>
  <si>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</si>
  <si>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</si>
  <si>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</si>
  <si>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</si>
  <si>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</si>
  <si>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</si>
  <si>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</si>
  <si>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</si>
  <si>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</si>
  <si>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</si>
  <si>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</si>
  <si>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</si>
  <si>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</si>
  <si>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</si>
  <si>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</si>
  <si>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</si>
  <si>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</si>
  <si>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</si>
  <si>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</si>
  <si>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</si>
  <si>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</si>
  <si>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</si>
  <si>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</si>
  <si>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</si>
  <si>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</si>
  <si>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</si>
  <si>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</si>
  <si>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</si>
  <si>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</si>
  <si>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</si>
  <si>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</si>
  <si>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</si>
  <si>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</si>
  <si>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</si>
  <si>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</si>
  <si>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</si>
  <si>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</si>
  <si>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</si>
  <si>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</si>
  <si>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</si>
  <si>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</si>
  <si>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</si>
  <si>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</si>
  <si>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</si>
  <si>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</si>
  <si>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</si>
  <si>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</si>
  <si>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</si>
  <si>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</si>
  <si>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</si>
  <si>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</si>
  <si>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</si>
  <si>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</si>
  <si>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</si>
  <si>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</si>
  <si>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</si>
  <si>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</si>
  <si>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</si>
  <si>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</si>
  <si>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</si>
  <si>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</si>
  <si>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</si>
  <si>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</si>
  <si>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</si>
  <si>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</si>
  <si>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</si>
  <si>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</si>
  <si>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</si>
  <si>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</si>
  <si>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</si>
  <si>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</si>
  <si>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</si>
  <si>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</si>
  <si>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</si>
  <si>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</si>
  <si>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</si>
  <si>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</si>
  <si>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</si>
  <si>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</si>
  <si>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</si>
  <si>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</si>
  <si>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</si>
  <si>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</si>
  <si>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</si>
  <si>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</si>
  <si>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</si>
  <si>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</si>
  <si>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</si>
  <si>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</si>
  <si>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</si>
  <si>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</si>
  <si>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</si>
  <si>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</si>
  <si>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</si>
  <si>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</si>
  <si>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</si>
  <si>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</si>
  <si>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</si>
  <si>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</si>
  <si>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</si>
  <si>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</si>
  <si>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</si>
  <si>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</si>
  <si>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</si>
  <si>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</si>
  <si>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</si>
  <si>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</si>
  <si>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</si>
  <si>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</si>
  <si>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</si>
  <si>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</si>
  <si>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</si>
  <si>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</si>
  <si>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</si>
  <si>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</si>
  <si>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</si>
  <si>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</si>
  <si>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</si>
  <si>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</si>
  <si>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</si>
  <si>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</si>
  <si>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</si>
  <si>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</si>
  <si>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</si>
  <si>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</si>
  <si>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</si>
  <si>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</si>
  <si>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</si>
  <si>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</si>
  <si>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</si>
  <si>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</si>
  <si>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</si>
  <si>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</si>
  <si>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</si>
  <si>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</si>
  <si>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</si>
  <si>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</si>
  <si>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</si>
  <si>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</si>
  <si>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</si>
  <si>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</si>
  <si>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</si>
  <si>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</si>
  <si>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</si>
  <si>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</si>
  <si>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</si>
  <si>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</si>
  <si>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</si>
  <si>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</si>
  <si>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</si>
  <si>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</si>
  <si>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</si>
  <si>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</si>
  <si>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</si>
  <si>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</si>
  <si>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</si>
  <si>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</si>
  <si>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</si>
  <si>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</si>
  <si>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</si>
  <si>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</si>
  <si>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</si>
  <si>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</si>
  <si>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</si>
  <si>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</si>
  <si>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</si>
  <si>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</si>
  <si>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</si>
  <si>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</si>
  <si>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</si>
  <si>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</si>
  <si>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</si>
  <si>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</si>
  <si>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</si>
  <si>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</si>
  <si>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</si>
  <si>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</si>
  <si>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</si>
  <si>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</si>
  <si>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</si>
  <si>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</si>
  <si>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</si>
  <si>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</si>
  <si>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</si>
  <si>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</si>
  <si>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</si>
  <si>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</si>
  <si>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</si>
  <si>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</si>
  <si>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</si>
  <si>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</si>
  <si>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</si>
  <si>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</si>
  <si>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</si>
  <si>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</si>
  <si>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</si>
  <si>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</si>
  <si>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</si>
  <si>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</si>
  <si>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</si>
  <si>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</si>
  <si>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</si>
  <si>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</si>
  <si>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</si>
  <si>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</si>
  <si>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</si>
  <si>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</si>
  <si>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</si>
  <si>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</si>
  <si>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</si>
  <si>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</si>
  <si>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</si>
  <si>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</si>
  <si>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</si>
  <si>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</si>
  <si>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</si>
  <si>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</si>
  <si>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</si>
  <si>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</si>
  <si>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</si>
  <si>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</si>
  <si>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</si>
  <si>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</si>
  <si>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</si>
  <si>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</si>
  <si>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</si>
  <si>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</si>
  <si>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</si>
  <si>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</si>
  <si>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</si>
  <si>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</si>
  <si>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</si>
  <si>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</si>
  <si>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</si>
  <si>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</si>
  <si>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</si>
  <si>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</si>
  <si>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</si>
  <si>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</si>
  <si>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</si>
  <si>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</si>
  <si>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</si>
  <si>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</si>
  <si>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</si>
  <si>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</si>
  <si>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</si>
  <si>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</si>
  <si>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</si>
  <si>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</si>
  <si>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</si>
  <si>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</si>
  <si>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</si>
  <si>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</si>
  <si>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</si>
  <si>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</si>
  <si>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</si>
  <si>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</si>
  <si>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</si>
  <si>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</si>
  <si>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</si>
  <si>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</si>
  <si>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</si>
  <si>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</si>
  <si>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</si>
  <si>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</si>
  <si>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</si>
  <si>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</si>
  <si>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</si>
  <si>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</si>
  <si>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</si>
  <si>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</si>
  <si>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</si>
  <si>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</si>
  <si>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</si>
  <si>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</si>
  <si>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</si>
  <si>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</si>
  <si>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</si>
  <si>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</si>
  <si>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</si>
  <si>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</si>
  <si>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</si>
  <si>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</si>
  <si>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</si>
  <si>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</si>
  <si>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</si>
  <si>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</si>
  <si>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</si>
  <si>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</si>
  <si>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</si>
  <si>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</si>
  <si>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</si>
  <si>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</si>
  <si>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</si>
  <si>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</si>
  <si>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</si>
  <si>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</si>
  <si>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</si>
  <si>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</si>
  <si>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</si>
  <si>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</si>
  <si>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</si>
  <si>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</si>
  <si>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</si>
  <si>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</si>
  <si>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</si>
  <si>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</si>
  <si>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</si>
  <si>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</si>
  <si>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</si>
  <si>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</si>
  <si>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</si>
  <si>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</si>
  <si>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</si>
  <si>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</si>
  <si>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</si>
  <si>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</si>
  <si>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</si>
  <si>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</si>
  <si>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</si>
  <si>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</si>
  <si>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</si>
  <si>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</si>
  <si>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</si>
  <si>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</si>
  <si>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</si>
  <si>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</si>
  <si>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</si>
  <si>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</si>
  <si>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</si>
  <si>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</si>
  <si>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</si>
  <si>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</si>
  <si>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</si>
  <si>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</si>
  <si>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</si>
  <si>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</si>
  <si>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</si>
  <si>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</si>
  <si>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</si>
  <si>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</si>
  <si>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</si>
  <si>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</si>
  <si>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</si>
  <si>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</si>
  <si>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</si>
  <si>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</si>
  <si>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</si>
  <si>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</si>
  <si>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</si>
  <si>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</si>
  <si>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</si>
  <si>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</si>
  <si>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</si>
  <si>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</si>
  <si>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</si>
  <si>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</si>
  <si>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</si>
  <si>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</si>
  <si>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</si>
  <si>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</si>
  <si>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</si>
  <si>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</si>
  <si>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</si>
  <si>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</si>
  <si>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</si>
  <si>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</si>
  <si>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</si>
  <si>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</si>
  <si>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</si>
  <si>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</si>
  <si>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</si>
  <si>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</si>
  <si>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</si>
  <si>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</si>
  <si>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</si>
  <si>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</si>
  <si>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</si>
  <si>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</si>
  <si>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</si>
  <si>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</si>
  <si>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</si>
  <si>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</si>
  <si>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</si>
  <si>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</si>
  <si>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</si>
  <si>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</si>
  <si>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</si>
  <si>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</si>
  <si>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</si>
  <si>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</si>
  <si>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</si>
  <si>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</si>
  <si>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</si>
  <si>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</si>
  <si>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</si>
  <si>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</si>
  <si>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</si>
  <si>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</si>
  <si>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</si>
  <si>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</si>
  <si>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</si>
  <si>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</si>
  <si>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</si>
  <si>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</si>
  <si>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</si>
  <si>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</si>
  <si>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</si>
  <si>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</si>
  <si>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</si>
  <si>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</si>
  <si>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</si>
  <si>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</si>
  <si>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</si>
  <si>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</si>
  <si>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</si>
  <si>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</si>
  <si>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</si>
  <si>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</si>
  <si>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</si>
  <si>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</si>
  <si>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</si>
  <si>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</si>
  <si>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</si>
  <si>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</si>
  <si>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</si>
  <si>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</si>
  <si>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</si>
  <si>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</si>
  <si>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</si>
  <si>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</si>
  <si>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</si>
  <si>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</si>
  <si>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</si>
  <si>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</si>
  <si>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</si>
  <si>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</si>
  <si>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</si>
  <si>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</si>
  <si>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</si>
  <si>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</si>
  <si>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</si>
  <si>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</si>
  <si>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</si>
  <si>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</si>
  <si>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</si>
  <si>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</si>
  <si>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</si>
  <si>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</si>
  <si>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</si>
  <si>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</si>
  <si>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</si>
  <si>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</si>
  <si>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</si>
  <si>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</si>
  <si>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</si>
  <si>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</si>
  <si>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</si>
  <si>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</si>
  <si>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</si>
  <si>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</si>
  <si>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</si>
  <si>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</si>
  <si>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</si>
  <si>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</si>
  <si>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</si>
  <si>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</si>
  <si>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</si>
  <si>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</si>
  <si>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</si>
  <si>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NA</t>
  </si>
  <si>
    <t>Row Labels</t>
  </si>
  <si>
    <t>Grand Total</t>
  </si>
  <si>
    <t>Sum of TotalPrice</t>
  </si>
  <si>
    <t>Sum of ItemsInCart</t>
  </si>
  <si>
    <t>Count of OrderID</t>
  </si>
  <si>
    <t>Sum of Quantity</t>
  </si>
  <si>
    <t>Column Labels</t>
  </si>
  <si>
    <t>Total Profit</t>
  </si>
  <si>
    <t>Count of CustomerID</t>
  </si>
  <si>
    <t>2023</t>
  </si>
  <si>
    <t>2024</t>
  </si>
  <si>
    <t>2025</t>
  </si>
  <si>
    <t>Dashboard (Online store Orders)</t>
  </si>
  <si>
    <t xml:space="preserve"> </t>
  </si>
  <si>
    <t>Cust Id:</t>
  </si>
  <si>
    <t>Product:</t>
  </si>
  <si>
    <t>Order status:</t>
  </si>
  <si>
    <t>Find Product and its status from Cust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</si>
</sst>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6" formatCode="_ [$₹-4009]\ * #,##0.00_ ;_ [$₹-4009]\ * \-#,##0.00_ ;_ [$₹-4009]\ * &quot;-&quot;??_ ;_ @_ "/>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b/>
      <sz val="18"/>
      <name val="Calibri"/>
      <family val="2"/>
      <scheme val="minor"/>
    </font>
    <font>
      <b/>
      <sz val="20"/>
      <name val="Calibri"/>
      <family val="2"/>
      <scheme val="minor"/>
    </font>
    <font>
      <b/>
      <sz val="24"/>
      <name val="Calibri"/>
      <family val="2"/>
      <scheme val="minor"/>
    </font>
    <font>
      <b/>
      <sz val="26"/>
      <name val="Calibri"/>
      <family val="2"/>
      <scheme val="minor"/>
    </font>
    <font>
      <b/>
      <sz val="12"/>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1" fillId="3" borderId="0" xfId="0" applyFont="1" applyFill="1"/>
    <xf numFmtId="0" fontId="1" fillId="3" borderId="0" xfId="0" applyFont="1" applyFill="1" applyAlignment="1">
      <alignment horizontal="left"/>
    </xf>
    <xf numFmtId="0" fontId="3" fillId="5" borderId="0" xfId="0" applyFont="1" applyFill="1"/>
    <xf numFmtId="166" fontId="4" fillId="5" borderId="0" xfId="0" applyNumberFormat="1" applyFont="1" applyFill="1" applyAlignment="1">
      <alignment vertical="center"/>
    </xf>
    <xf numFmtId="0" fontId="3" fillId="6" borderId="0" xfId="0" applyFont="1" applyFill="1"/>
    <xf numFmtId="166" fontId="4" fillId="6" borderId="0" xfId="0" applyNumberFormat="1" applyFont="1" applyFill="1" applyAlignment="1">
      <alignment vertical="center"/>
    </xf>
    <xf numFmtId="0" fontId="6" fillId="6" borderId="0" xfId="0" applyFont="1" applyFill="1" applyAlignment="1">
      <alignment horizontal="center" vertical="center"/>
    </xf>
    <xf numFmtId="44" fontId="7" fillId="6" borderId="0" xfId="1" applyFont="1" applyFill="1" applyAlignment="1">
      <alignment horizontal="center" vertical="center"/>
    </xf>
    <xf numFmtId="44" fontId="7" fillId="7" borderId="0" xfId="1" applyFont="1" applyFill="1" applyAlignment="1">
      <alignment horizontal="center" vertical="center"/>
    </xf>
    <xf numFmtId="0" fontId="8" fillId="7" borderId="0" xfId="0" applyFont="1" applyFill="1" applyAlignment="1">
      <alignment horizontal="center" vertical="center"/>
    </xf>
    <xf numFmtId="0" fontId="5" fillId="7" borderId="0" xfId="0" applyFont="1" applyFill="1" applyAlignment="1">
      <alignment horizontal="center" vertical="center"/>
    </xf>
    <xf numFmtId="0" fontId="1" fillId="2" borderId="0" xfId="0" applyFont="1" applyFill="1"/>
    <xf numFmtId="0" fontId="1" fillId="4" borderId="0" xfId="0" applyFont="1" applyFill="1" applyAlignment="1">
      <alignment horizontal="center" vertical="center" wrapText="1"/>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[KrinaSuthar_ExcelDashboard.xlsx]Obj2!PivotTable2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Items</a:t>
            </a:r>
            <a:r>
              <a:rPr lang="en-US" baseline="0"/>
              <a:t> in cart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'Obj2'!$B$3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F03-49EF-BEAB-83820BB6F389}"/>
              </c:ext>
            </c:extLst>
          </c:dPt>
          <c:dPt>
            <c:idx val="1"/>
            <c:bubble3D val="0"/>
            <c:spPr>
              <a:solidFill>
                <a:schemeClr val="accent5"/>
              </a:solidFill>
              <a:ln>
                <a:noFill/>
              </a:ln>
              <a:effectLst>
                <a:outerShdw blurRad="254000" sx="102000" sy="102000" algn="ctr" rotWithShape="0">
                  <a:prstClr val="black">
                    <a:alpha val="20000"/>
                  </a:prstClr>
                </a:outerShdw>
              </a:effectLst>
            </c:spPr>
          </c:dPt>
          <c:dPt>
            <c:idx val="2"/>
            <c:bubble3D val="0"/>
            <c:spPr>
              <a:solidFill>
                <a:schemeClr val="accent4"/>
              </a:solidFill>
              <a:ln>
                <a:noFill/>
              </a:ln>
              <a:effectLst>
                <a:outerShdw blurRad="254000" sx="102000" sy="102000" algn="ctr" rotWithShape="0">
                  <a:prstClr val="black">
                    <a:alpha val="20000"/>
                  </a:prstClr>
                </a:outerShdw>
              </a:effectLst>
            </c:spPr>
          </c:dPt>
          <c:dPt>
            <c:idx val="3"/>
            <c:bubble3D val="0"/>
            <c:spPr>
              <a:solidFill>
                <a:schemeClr val="accent6">
                  <a:lumMod val="60000"/>
                </a:schemeClr>
              </a:solidFill>
              <a:ln>
                <a:noFill/>
              </a:ln>
              <a:effectLst>
                <a:outerShdw blurRad="254000" sx="102000" sy="102000" algn="ctr" rotWithShape="0">
                  <a:prstClr val="black">
                    <a:alpha val="20000"/>
                  </a:prstClr>
                </a:outerShdw>
              </a:effectLst>
            </c:spPr>
          </c:dPt>
          <c:dPt>
            <c:idx val="4"/>
            <c:bubble3D val="0"/>
            <c:spPr>
              <a:solidFill>
                <a:schemeClr val="accent5">
                  <a:lumMod val="60000"/>
                </a:schemeClr>
              </a:solidFill>
              <a:ln>
                <a:noFill/>
              </a:ln>
              <a:effectLst>
                <a:outerShdw blurRad="254000" sx="102000" sy="102000" algn="ctr" rotWithShape="0">
                  <a:prstClr val="black">
                    <a:alpha val="20000"/>
                  </a:prstClr>
                </a:outerShdw>
              </a:effectLst>
            </c:spPr>
          </c:dPt>
          <c:dPt>
            <c:idx val="5"/>
            <c:bubble3D val="0"/>
            <c:spPr>
              <a:solidFill>
                <a:schemeClr val="accent4">
                  <a:lumMod val="60000"/>
                </a:schemeClr>
              </a:solidFill>
              <a:ln>
                <a:noFill/>
              </a:ln>
              <a:effectLst>
                <a:outerShdw blurRad="254000" sx="102000" sy="102000" algn="ctr" rotWithShape="0">
                  <a:prstClr val="black">
                    <a:alpha val="20000"/>
                  </a:prstClr>
                </a:outerShdw>
              </a:effectLst>
            </c:spPr>
          </c:dPt>
          <c:dPt>
            <c:idx val="6"/>
            <c:bubble3D val="0"/>
            <c:spPr>
              <a:solidFill>
                <a:schemeClr val="accent6">
                  <a:lumMod val="80000"/>
                  <a:lumOff val="2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'Obj2'!$A$4:$A$11</c:f>
              <c:strCache>
                <c:ptCount val="7"/>
                <c:pt idx="0">
                  <c:v>Chair</c:v>
                </c:pt>
                <c:pt idx="1">
                  <c:v>Desk</c:v>
                </c:pt>
                <c:pt idx="2">
                  <c:v>Laptop</c:v>
                </c:pt>
                <c:pt idx="3">
                  <c:v>Monitor</c:v>
                </c:pt>
                <c:pt idx="4">
                  <c:v>Phone</c:v>
                </c:pt>
                <c:pt idx="5">
                  <c:v>Printer</c:v>
                </c:pt>
                <c:pt idx="6">
                  <c:v>Tablet</c:v>
                </c:pt>
              </c:strCache>
            </c:strRef>
          </c:cat>
          <c:val>
            <c:numRef>
              <c:f>'Obj2'!$B$4:$B$11</c:f>
              <c:numCache>
                <c:formatCode>General</c:formatCode>
                <c:ptCount val="7"/>
                <c:pt idx="0">
                  <c:v>1029</c:v>
                </c:pt>
                <c:pt idx="1">
                  <c:v>948</c:v>
                </c:pt>
                <c:pt idx="2">
                  <c:v>924</c:v>
                </c:pt>
                <c:pt idx="3">
                  <c:v>906</c:v>
                </c:pt>
                <c:pt idx="4">
                  <c:v>792</c:v>
                </c:pt>
                <c:pt idx="5">
                  <c:v>998</c:v>
                </c:pt>
                <c:pt idx="6">
                  <c:v>985</c:v>
                </c:pt>
              </c:numCache>
            </c:numRef>
          </c:val>
          <c:extLst>
            <c:ext xmlns:c16="http://schemas.microsoft.com/office/drawing/2014/chart" uri="{C3380CC4-5D6E-409C-BE32-E72D297353CC}">
              <c16:uniqueId val="{00000000-EF03-49EF-BEAB-83820BB6F389}"/>
            </c:ext>
          </c:extLst>
        </c:ser>
        <c:dLbls>
          <c:showLegendKey val="0"/>
          <c:showVal val="0"/>
          <c:showCatName val="0"/>
          <c:showSerName val="0"/>
          <c:showPercent val="1"/>
          <c:showBubbleSize val="0"/>
          <c:showLeaderLines val="0"/>
        </c:dLbls>
        <c:firstSliceAng val="32"/>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[KrinaSuthar_ExcelDashboard.xlsx]Obj4!PivotTable16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No of products</a:t>
            </a:r>
          </a:p>
        </c:rich>
      </c:tx>
      <c:layout>
        <c:manualLayout>
          <c:xMode val="edge"/>
          <c:yMode val="edge"/>
          <c:x val="0.39098897920018055"/>
          <c:y val="5.91644794400699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'Obj4'!$B$3:$B$4</c:f>
              <c:strCache>
                <c:ptCount val="1"/>
                <c:pt idx="0">
                  <c:v>Cancelled</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'Obj4'!$A$5:$A$12</c:f>
              <c:strCache>
                <c:ptCount val="7"/>
                <c:pt idx="0">
                  <c:v>Chair</c:v>
                </c:pt>
                <c:pt idx="1">
                  <c:v>Desk</c:v>
                </c:pt>
                <c:pt idx="2">
                  <c:v>Laptop</c:v>
                </c:pt>
                <c:pt idx="3">
                  <c:v>Monitor</c:v>
                </c:pt>
                <c:pt idx="4">
                  <c:v>Phone</c:v>
                </c:pt>
                <c:pt idx="5">
                  <c:v>Printer</c:v>
                </c:pt>
                <c:pt idx="6">
                  <c:v>Tablet</c:v>
                </c:pt>
              </c:strCache>
            </c:strRef>
          </c:cat>
          <c:val>
            <c:numRef>
              <c:f>'Obj4'!$B$5:$B$12</c:f>
              <c:numCache>
                <c:formatCode>General</c:formatCode>
                <c:ptCount val="7"/>
                <c:pt idx="0">
                  <c:v>142</c:v>
                </c:pt>
                <c:pt idx="1">
                  <c:v>107</c:v>
                </c:pt>
                <c:pt idx="2">
                  <c:v>113</c:v>
                </c:pt>
                <c:pt idx="3">
                  <c:v>102</c:v>
                </c:pt>
                <c:pt idx="4">
                  <c:v>80</c:v>
                </c:pt>
                <c:pt idx="5">
                  <c:v>112</c:v>
                </c:pt>
                <c:pt idx="6">
                  <c:v>103</c:v>
                </c:pt>
              </c:numCache>
            </c:numRef>
          </c:val>
          <c:extLst>
            <c:ext xmlns:c16="http://schemas.microsoft.com/office/drawing/2014/chart" uri="{C3380CC4-5D6E-409C-BE32-E72D297353CC}">
              <c16:uniqueId val="{00000000-5F4A-4AD2-9175-9359244554B3}"/>
            </c:ext>
          </c:extLst>
        </c:ser>
        <c:ser>
          <c:idx val="1"/>
          <c:order val="1"/>
          <c:tx>
            <c:strRef>
              <c:f>'Obj4'!$C$3:$C$4</c:f>
              <c:strCache>
                <c:ptCount val="1"/>
                <c:pt idx="0">
                  <c:v>Delivered</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'Obj4'!$A$5:$A$12</c:f>
              <c:strCache>
                <c:ptCount val="7"/>
                <c:pt idx="0">
                  <c:v>Chair</c:v>
                </c:pt>
                <c:pt idx="1">
                  <c:v>Desk</c:v>
                </c:pt>
                <c:pt idx="2">
                  <c:v>Laptop</c:v>
                </c:pt>
                <c:pt idx="3">
                  <c:v>Monitor</c:v>
                </c:pt>
                <c:pt idx="4">
                  <c:v>Phone</c:v>
                </c:pt>
                <c:pt idx="5">
                  <c:v>Printer</c:v>
                </c:pt>
                <c:pt idx="6">
                  <c:v>Tablet</c:v>
                </c:pt>
              </c:strCache>
            </c:strRef>
          </c:cat>
          <c:val>
            <c:numRef>
              <c:f>'Obj4'!$C$5:$C$12</c:f>
              <c:numCache>
                <c:formatCode>General</c:formatCode>
                <c:ptCount val="7"/>
                <c:pt idx="0">
                  <c:v>105</c:v>
                </c:pt>
                <c:pt idx="1">
                  <c:v>94</c:v>
                </c:pt>
                <c:pt idx="2">
                  <c:v>121</c:v>
                </c:pt>
                <c:pt idx="3">
                  <c:v>96</c:v>
                </c:pt>
                <c:pt idx="4">
                  <c:v>101</c:v>
                </c:pt>
                <c:pt idx="5">
                  <c:v>88</c:v>
                </c:pt>
                <c:pt idx="6">
                  <c:v>85</c:v>
                </c:pt>
              </c:numCache>
            </c:numRef>
          </c:val>
          <c:extLst>
            <c:ext xmlns:c16="http://schemas.microsoft.com/office/drawing/2014/chart" uri="{C3380CC4-5D6E-409C-BE32-E72D297353CC}">
              <c16:uniqueId val="{00000048-5F4A-4AD2-9175-9359244554B3}"/>
            </c:ext>
          </c:extLst>
        </c:ser>
        <c:ser>
          <c:idx val="2"/>
          <c:order val="2"/>
          <c:tx>
            <c:strRef>
              <c:f>'Obj4'!$D$3:$D$4</c:f>
              <c:strCache>
                <c:ptCount val="1"/>
                <c:pt idx="0">
                  <c:v>Pending</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'Obj4'!$A$5:$A$12</c:f>
              <c:strCache>
                <c:ptCount val="7"/>
                <c:pt idx="0">
                  <c:v>Chair</c:v>
                </c:pt>
                <c:pt idx="1">
                  <c:v>Desk</c:v>
                </c:pt>
                <c:pt idx="2">
                  <c:v>Laptop</c:v>
                </c:pt>
                <c:pt idx="3">
                  <c:v>Monitor</c:v>
                </c:pt>
                <c:pt idx="4">
                  <c:v>Phone</c:v>
                </c:pt>
                <c:pt idx="5">
                  <c:v>Printer</c:v>
                </c:pt>
                <c:pt idx="6">
                  <c:v>Tablet</c:v>
                </c:pt>
              </c:strCache>
            </c:strRef>
          </c:cat>
          <c:val>
            <c:numRef>
              <c:f>'Obj4'!$D$5:$D$12</c:f>
              <c:numCache>
                <c:formatCode>General</c:formatCode>
                <c:ptCount val="7"/>
                <c:pt idx="0">
                  <c:v>145</c:v>
                </c:pt>
                <c:pt idx="1">
                  <c:v>124</c:v>
                </c:pt>
                <c:pt idx="2">
                  <c:v>85</c:v>
                </c:pt>
                <c:pt idx="3">
                  <c:v>92</c:v>
                </c:pt>
                <c:pt idx="4">
                  <c:v>90</c:v>
                </c:pt>
                <c:pt idx="5">
                  <c:v>104</c:v>
                </c:pt>
                <c:pt idx="6">
                  <c:v>84</c:v>
                </c:pt>
              </c:numCache>
            </c:numRef>
          </c:val>
          <c:extLst>
            <c:ext xmlns:c16="http://schemas.microsoft.com/office/drawing/2014/chart" uri="{C3380CC4-5D6E-409C-BE32-E72D297353CC}">
              <c16:uniqueId val="{00000049-5F4A-4AD2-9175-9359244554B3}"/>
            </c:ext>
          </c:extLst>
        </c:ser>
        <c:ser>
          <c:idx val="3"/>
          <c:order val="3"/>
          <c:tx>
            <c:strRef>
              <c:f>'Obj4'!$E$3:$E$4</c:f>
              <c:strCache>
                <c:ptCount val="1"/>
                <c:pt idx="0">
                  <c:v>Returned</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'Obj4'!$A$5:$A$12</c:f>
              <c:strCache>
                <c:ptCount val="7"/>
                <c:pt idx="0">
                  <c:v>Chair</c:v>
                </c:pt>
                <c:pt idx="1">
                  <c:v>Desk</c:v>
                </c:pt>
                <c:pt idx="2">
                  <c:v>Laptop</c:v>
                </c:pt>
                <c:pt idx="3">
                  <c:v>Monitor</c:v>
                </c:pt>
                <c:pt idx="4">
                  <c:v>Phone</c:v>
                </c:pt>
                <c:pt idx="5">
                  <c:v>Printer</c:v>
                </c:pt>
                <c:pt idx="6">
                  <c:v>Tablet</c:v>
                </c:pt>
              </c:strCache>
            </c:strRef>
          </c:cat>
          <c:val>
            <c:numRef>
              <c:f>'Obj4'!$E$5:$E$12</c:f>
              <c:numCache>
                <c:formatCode>General</c:formatCode>
                <c:ptCount val="7"/>
                <c:pt idx="0">
                  <c:v>71</c:v>
                </c:pt>
                <c:pt idx="1">
                  <c:v>86</c:v>
                </c:pt>
                <c:pt idx="2">
                  <c:v>114</c:v>
                </c:pt>
                <c:pt idx="3">
                  <c:v>97</c:v>
                </c:pt>
                <c:pt idx="4">
                  <c:v>77</c:v>
                </c:pt>
                <c:pt idx="5">
                  <c:v>114</c:v>
                </c:pt>
                <c:pt idx="6">
                  <c:v>123</c:v>
                </c:pt>
              </c:numCache>
            </c:numRef>
          </c:val>
          <c:extLst>
            <c:ext xmlns:c16="http://schemas.microsoft.com/office/drawing/2014/chart" uri="{C3380CC4-5D6E-409C-BE32-E72D297353CC}">
              <c16:uniqueId val="{0000004A-5F4A-4AD2-9175-9359244554B3}"/>
            </c:ext>
          </c:extLst>
        </c:ser>
        <c:ser>
          <c:idx val="4"/>
          <c:order val="4"/>
          <c:tx>
            <c:strRef>
              <c:f>'Obj4'!$F$3:$F$4</c:f>
              <c:strCache>
                <c:ptCount val="1"/>
                <c:pt idx="0">
                  <c:v>Shipped</c:v>
                </c:pt>
              </c:strCache>
            </c:strRef>
          </c:tx>
          <c:spPr>
            <a:solidFill>
              <a:schemeClr val="accent5">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'Obj4'!$A$5:$A$12</c:f>
              <c:strCache>
                <c:ptCount val="7"/>
                <c:pt idx="0">
                  <c:v>Chair</c:v>
                </c:pt>
                <c:pt idx="1">
                  <c:v>Desk</c:v>
                </c:pt>
                <c:pt idx="2">
                  <c:v>Laptop</c:v>
                </c:pt>
                <c:pt idx="3">
                  <c:v>Monitor</c:v>
                </c:pt>
                <c:pt idx="4">
                  <c:v>Phone</c:v>
                </c:pt>
                <c:pt idx="5">
                  <c:v>Printer</c:v>
                </c:pt>
                <c:pt idx="6">
                  <c:v>Tablet</c:v>
                </c:pt>
              </c:strCache>
            </c:strRef>
          </c:cat>
          <c:val>
            <c:numRef>
              <c:f>'Obj4'!$F$5:$F$12</c:f>
              <c:numCache>
                <c:formatCode>General</c:formatCode>
                <c:ptCount val="7"/>
                <c:pt idx="0">
                  <c:v>99</c:v>
                </c:pt>
                <c:pt idx="1">
                  <c:v>97</c:v>
                </c:pt>
                <c:pt idx="2">
                  <c:v>102</c:v>
                </c:pt>
                <c:pt idx="3">
                  <c:v>93</c:v>
                </c:pt>
                <c:pt idx="4">
                  <c:v>63</c:v>
                </c:pt>
                <c:pt idx="5">
                  <c:v>124</c:v>
                </c:pt>
                <c:pt idx="6">
                  <c:v>102</c:v>
                </c:pt>
              </c:numCache>
            </c:numRef>
          </c:val>
          <c:extLst>
            <c:ext xmlns:c16="http://schemas.microsoft.com/office/drawing/2014/chart" uri="{C3380CC4-5D6E-409C-BE32-E72D297353CC}">
              <c16:uniqueId val="{0000004B-5F4A-4AD2-9175-9359244554B3}"/>
            </c:ext>
          </c:extLst>
        </c:ser>
        <c:dLbls>
          <c:dLblPos val="ctr"/>
          <c:showLegendKey val="0"/>
          <c:showVal val="1"/>
          <c:showCatName val="0"/>
          <c:showSerName val="0"/>
          <c:showPercent val="0"/>
          <c:showBubbleSize val="0"/>
        </c:dLbls>
        <c:gapWidth val="150"/>
        <c:overlap val="100"/>
        <c:axId val="576832575"/>
        <c:axId val="576831615"/>
      </c:barChart>
      <c:catAx>
        <c:axId val="5768325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576831615"/>
        <c:crosses val="autoZero"/>
        <c:auto val="1"/>
        <c:lblAlgn val="ctr"/>
        <c:lblOffset val="100"/>
        <c:noMultiLvlLbl val="0"/>
      </c:catAx>
      <c:valAx>
        <c:axId val="57683161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68325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[KrinaSuthar_ExcelDashboard.xlsx]Obj3!PivotTable3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'Obj3'!$B$3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'Obj3'!$A$4:$A$9</c:f>
              <c:strCache>
                <c:ptCount val="5"/>
                <c:pt idx="0">
                  <c:v>Cash</c:v>
                </c:pt>
                <c:pt idx="1">
                  <c:v>Credit Card</c:v>
                </c:pt>
                <c:pt idx="2">
                  <c:v>Debit Card</c:v>
                </c:pt>
                <c:pt idx="3">
                  <c:v>Gift Card</c:v>
                </c:pt>
                <c:pt idx="4">
                  <c:v>Online</c:v>
                </c:pt>
              </c:strCache>
            </c:strRef>
          </c:cat>
          <c:val>
            <c:numRef>
              <c:f>'Obj3'!$B$4:$B$9</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F8A1-46A0-BAC0-C9ABC931EDEB}"/>
            </c:ext>
          </c:extLst>
        </c:ser>
        <c:dLbls>
          <c:showLegendKey val="0"/>
          <c:showVal val="1"/>
          <c:showCatName val="0"/>
          <c:showSerName val="0"/>
          <c:showPercent val="0"/>
          <c:showBubbleSize val="0"/>
        </c:dLbls>
        <c:gapWidth val="65"/>
        <c:shape val="box"/>
        <c:axId val="419248863"/>
        <c:axId val="419246943"/>
        <c:axId val="0"/>
      </c:bar3DChart>
      <c:catAx>
        <c:axId val="4192488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419246943"/>
        <c:crosses val="autoZero"/>
        <c:auto val="1"/>
        <c:lblAlgn val="ctr"/>
        <c:lblOffset val="100"/>
        <c:noMultiLvlLbl val="0"/>
      </c:catAx>
      <c:valAx>
        <c:axId val="41924694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1924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[KrinaSuthar_ExcelDashboard.xlsx]Obj6!PivotTable17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Coupon Code Used by Customer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'Obj6'!$B$3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'Obj6'!$A$4:$A$8</c:f>
              <c:strCache>
                <c:ptCount val="4"/>
                <c:pt idx="0">
                  <c:v>FREESHIP</c:v>
                </c:pt>
                <c:pt idx="1">
                  <c:v>NA</c:v>
                </c:pt>
                <c:pt idx="2">
                  <c:v>SAVE10</c:v>
                </c:pt>
                <c:pt idx="3">
                  <c:v>WINTER15</c:v>
                </c:pt>
              </c:strCache>
            </c:strRef>
          </c:cat>
          <c:val>
            <c:numRef>
              <c:f>'Obj6'!$B$4:$B$8</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0-A887-43B0-89A3-47C378002E61}"/>
            </c:ext>
          </c:extLst>
        </c:ser>
        <c:dLbls>
          <c:showLegendKey val="0"/>
          <c:showVal val="0"/>
          <c:showCatName val="0"/>
          <c:showSerName val="0"/>
          <c:showPercent val="0"/>
          <c:showBubbleSize val="0"/>
        </c:dLbls>
        <c:gapWidth val="65"/>
        <c:shape val="box"/>
        <c:axId val="653221823"/>
        <c:axId val="653223743"/>
        <c:axId val="0"/>
      </c:bar3DChart>
      <c:catAx>
        <c:axId val="6532218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3223743"/>
        <c:crosses val="autoZero"/>
        <c:auto val="1"/>
        <c:lblAlgn val="ctr"/>
        <c:lblOffset val="100"/>
        <c:noMultiLvlLbl val="0"/>
      </c:catAx>
      <c:valAx>
        <c:axId val="6532237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322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[KrinaSuthar_ExcelDashboard.xlsx]Obj2!PivotTable2</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Items</a:t>
            </a:r>
            <a:r>
              <a:rPr lang="en-US" baseline="0"/>
              <a:t> in cart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pivotFmt>
      <c:pivotFmt>
        <c:idx val="13"/>
        <c:spPr>
          <a:solidFill>
            <a:schemeClr val="accent6"/>
          </a:solidFill>
          <a:ln>
            <a:noFill/>
          </a:ln>
          <a:effectLst>
            <a:outerShdw blurRad="254000" sx="102000" sy="102000" algn="ctr" rotWithShape="0">
              <a:prstClr val="black">
                <a:alpha val="20000"/>
              </a:prstClr>
            </a:outerShdw>
          </a:effectLst>
        </c:spPr>
      </c:pivotFmt>
      <c:pivotFmt>
        <c:idx val="14"/>
        <c:spPr>
          <a:solidFill>
            <a:schemeClr val="accent6"/>
          </a:solidFill>
          <a:ln>
            <a:noFill/>
          </a:ln>
          <a:effectLst>
            <a:outerShdw blurRad="254000" sx="102000" sy="102000" algn="ctr" rotWithShape="0">
              <a:prstClr val="black">
                <a:alpha val="20000"/>
              </a:prstClr>
            </a:outerShdw>
          </a:effectLst>
        </c:spPr>
      </c:pivotFmt>
      <c:pivotFmt>
        <c:idx val="15"/>
        <c:spPr>
          <a:solidFill>
            <a:schemeClr val="accent6"/>
          </a:solidFill>
          <a:ln>
            <a:noFill/>
          </a:ln>
          <a:effectLst>
            <a:outerShdw blurRad="254000" sx="102000" sy="102000" algn="ctr" rotWithShape="0">
              <a:prstClr val="black">
                <a:alpha val="20000"/>
              </a:prstClr>
            </a:outerShdw>
          </a:effectLst>
        </c:spPr>
      </c:pivotFmt>
      <c:pivotFmt>
        <c:idx val="16"/>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'Obj2'!$B$3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335-49BB-B2B6-9EE597BC1640}"/>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335-49BB-B2B6-9EE597BC1640}"/>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335-49BB-B2B6-9EE597BC1640}"/>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335-49BB-B2B6-9EE597BC1640}"/>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335-49BB-B2B6-9EE597BC1640}"/>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335-49BB-B2B6-9EE597BC1640}"/>
              </c:ext>
            </c:extLst>
          </c:dPt>
          <c:dPt>
            <c:idx val="6"/>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335-49BB-B2B6-9EE597BC164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'Obj2'!$A$4:$A$11</c:f>
              <c:strCache>
                <c:ptCount val="7"/>
                <c:pt idx="0">
                  <c:v>Chair</c:v>
                </c:pt>
                <c:pt idx="1">
                  <c:v>Desk</c:v>
                </c:pt>
                <c:pt idx="2">
                  <c:v>Laptop</c:v>
                </c:pt>
                <c:pt idx="3">
                  <c:v>Monitor</c:v>
                </c:pt>
                <c:pt idx="4">
                  <c:v>Phone</c:v>
                </c:pt>
                <c:pt idx="5">
                  <c:v>Printer</c:v>
                </c:pt>
                <c:pt idx="6">
                  <c:v>Tablet</c:v>
                </c:pt>
              </c:strCache>
            </c:strRef>
          </c:cat>
          <c:val>
            <c:numRef>
              <c:f>'Obj2'!$B$4:$B$11</c:f>
              <c:numCache>
                <c:formatCode>General</c:formatCode>
                <c:ptCount val="7"/>
                <c:pt idx="0">
                  <c:v>1029</c:v>
                </c:pt>
                <c:pt idx="1">
                  <c:v>948</c:v>
                </c:pt>
                <c:pt idx="2">
                  <c:v>924</c:v>
                </c:pt>
                <c:pt idx="3">
                  <c:v>906</c:v>
                </c:pt>
                <c:pt idx="4">
                  <c:v>792</c:v>
                </c:pt>
                <c:pt idx="5">
                  <c:v>998</c:v>
                </c:pt>
                <c:pt idx="6">
                  <c:v>985</c:v>
                </c:pt>
              </c:numCache>
            </c:numRef>
          </c:val>
          <c:extLst>
            <c:ext xmlns:c16="http://schemas.microsoft.com/office/drawing/2014/chart" uri="{C3380CC4-5D6E-409C-BE32-E72D297353CC}">
              <c16:uniqueId val="{0000000E-6335-49BB-B2B6-9EE597BC1640}"/>
            </c:ext>
          </c:extLst>
        </c:ser>
        <c:dLbls>
          <c:showLegendKey val="0"/>
          <c:showVal val="0"/>
          <c:showCatName val="0"/>
          <c:showSerName val="0"/>
          <c:showPercent val="1"/>
          <c:showBubbleSize val="0"/>
          <c:showLeaderLines val="0"/>
        </c:dLbls>
        <c:firstSliceAng val="32"/>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[KrinaSuthar_ExcelDashboard.xlsx]Obj3!PivotTable3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 Mode</a:t>
            </a:r>
          </a:p>
        </c:rich>
      </c:tx>
      <c:layout>
        <c:manualLayout>
          <c:xMode val="edge"/>
          <c:yMode val="edge"/>
          <c:x val="0.39098897920018055"/>
          <c:y val="5.91644794400699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'Obj3'!$B$3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'Obj3'!$A$4:$A$9</c:f>
              <c:strCache>
                <c:ptCount val="5"/>
                <c:pt idx="0">
                  <c:v>Cash</c:v>
                </c:pt>
                <c:pt idx="1">
                  <c:v>Credit Card</c:v>
                </c:pt>
                <c:pt idx="2">
                  <c:v>Debit Card</c:v>
                </c:pt>
                <c:pt idx="3">
                  <c:v>Gift Card</c:v>
                </c:pt>
                <c:pt idx="4">
                  <c:v>Online</c:v>
                </c:pt>
              </c:strCache>
            </c:strRef>
          </c:cat>
          <c:val>
            <c:numRef>
              <c:f>'Obj3'!$B$4:$B$9</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2-3DC6-4AAD-B6B0-D486198A02F1}"/>
            </c:ext>
          </c:extLst>
        </c:ser>
        <c:dLbls>
          <c:dLblPos val="ctr"/>
          <c:showLegendKey val="0"/>
          <c:showVal val="1"/>
          <c:showCatName val="0"/>
          <c:showSerName val="0"/>
          <c:showPercent val="0"/>
          <c:showBubbleSize val="0"/>
        </c:dLbls>
        <c:gapWidth val="150"/>
        <c:overlap val="100"/>
        <c:axId val="576832575"/>
        <c:axId val="576831615"/>
      </c:barChart>
      <c:catAx>
        <c:axId val="5768325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576831615"/>
        <c:crosses val="autoZero"/>
        <c:auto val="1"/>
        <c:lblAlgn val="ctr"/>
        <c:lblOffset val="100"/>
        <c:noMultiLvlLbl val="0"/>
      </c:catAx>
      <c:valAx>
        <c:axId val="576831615"/>
        <c:scaling>
          <c:orientation val="minMax"/>
        </c:scaling>
        <c:delete val="1"/>
        <c:axPos val="b"/>
        <c:numFmt formatCode="General" sourceLinked="1"/>
        <c:majorTickMark val="none"/>
        <c:minorTickMark val="none"/>
        <c:tickLblPos val="nextTo"/>
        <c:crossAx val="576832575"/>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[KrinaSuthar_ExcelDashboard.xlsx]Obj4!PivotTable16</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No of products</a:t>
            </a:r>
          </a:p>
        </c:rich>
      </c:tx>
      <c:layout>
        <c:manualLayout>
          <c:xMode val="edge"/>
          <c:yMode val="edge"/>
          <c:x val="0.28588268430906977"/>
          <c:y val="7.0281441772501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'Obj4'!$B$3:$B$4</c:f>
              <c:strCache>
                <c:ptCount val="1"/>
                <c:pt idx="0">
                  <c:v>Cancelled</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'Obj4'!$A$5:$A$12</c:f>
              <c:strCache>
                <c:ptCount val="7"/>
                <c:pt idx="0">
                  <c:v>Chair</c:v>
                </c:pt>
                <c:pt idx="1">
                  <c:v>Desk</c:v>
                </c:pt>
                <c:pt idx="2">
                  <c:v>Laptop</c:v>
                </c:pt>
                <c:pt idx="3">
                  <c:v>Monitor</c:v>
                </c:pt>
                <c:pt idx="4">
                  <c:v>Phone</c:v>
                </c:pt>
                <c:pt idx="5">
                  <c:v>Printer</c:v>
                </c:pt>
                <c:pt idx="6">
                  <c:v>Tablet</c:v>
                </c:pt>
              </c:strCache>
            </c:strRef>
          </c:cat>
          <c:val>
            <c:numRef>
              <c:f>'Obj4'!$B$5:$B$12</c:f>
              <c:numCache>
                <c:formatCode>General</c:formatCode>
                <c:ptCount val="7"/>
                <c:pt idx="0">
                  <c:v>142</c:v>
                </c:pt>
                <c:pt idx="1">
                  <c:v>107</c:v>
                </c:pt>
                <c:pt idx="2">
                  <c:v>113</c:v>
                </c:pt>
                <c:pt idx="3">
                  <c:v>102</c:v>
                </c:pt>
                <c:pt idx="4">
                  <c:v>80</c:v>
                </c:pt>
                <c:pt idx="5">
                  <c:v>112</c:v>
                </c:pt>
                <c:pt idx="6">
                  <c:v>103</c:v>
                </c:pt>
              </c:numCache>
            </c:numRef>
          </c:val>
          <c:extLst>
            <c:ext xmlns:c16="http://schemas.microsoft.com/office/drawing/2014/chart" uri="{C3380CC4-5D6E-409C-BE32-E72D297353CC}">
              <c16:uniqueId val="{00000000-E2B3-48AC-976A-F36BD87C6BA2}"/>
            </c:ext>
          </c:extLst>
        </c:ser>
        <c:ser>
          <c:idx val="1"/>
          <c:order val="1"/>
          <c:tx>
            <c:strRef>
              <c:f>'Obj4'!$C$3:$C$4</c:f>
              <c:strCache>
                <c:ptCount val="1"/>
                <c:pt idx="0">
                  <c:v>Delivered</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'Obj4'!$A$5:$A$12</c:f>
              <c:strCache>
                <c:ptCount val="7"/>
                <c:pt idx="0">
                  <c:v>Chair</c:v>
                </c:pt>
                <c:pt idx="1">
                  <c:v>Desk</c:v>
                </c:pt>
                <c:pt idx="2">
                  <c:v>Laptop</c:v>
                </c:pt>
                <c:pt idx="3">
                  <c:v>Monitor</c:v>
                </c:pt>
                <c:pt idx="4">
                  <c:v>Phone</c:v>
                </c:pt>
                <c:pt idx="5">
                  <c:v>Printer</c:v>
                </c:pt>
                <c:pt idx="6">
                  <c:v>Tablet</c:v>
                </c:pt>
              </c:strCache>
            </c:strRef>
          </c:cat>
          <c:val>
            <c:numRef>
              <c:f>'Obj4'!$C$5:$C$12</c:f>
              <c:numCache>
                <c:formatCode>General</c:formatCode>
                <c:ptCount val="7"/>
                <c:pt idx="0">
                  <c:v>105</c:v>
                </c:pt>
                <c:pt idx="1">
                  <c:v>94</c:v>
                </c:pt>
                <c:pt idx="2">
                  <c:v>121</c:v>
                </c:pt>
                <c:pt idx="3">
                  <c:v>96</c:v>
                </c:pt>
                <c:pt idx="4">
                  <c:v>101</c:v>
                </c:pt>
                <c:pt idx="5">
                  <c:v>88</c:v>
                </c:pt>
                <c:pt idx="6">
                  <c:v>85</c:v>
                </c:pt>
              </c:numCache>
            </c:numRef>
          </c:val>
          <c:extLst>
            <c:ext xmlns:c16="http://schemas.microsoft.com/office/drawing/2014/chart" uri="{C3380CC4-5D6E-409C-BE32-E72D297353CC}">
              <c16:uniqueId val="{00000011-E2B3-48AC-976A-F36BD87C6BA2}"/>
            </c:ext>
          </c:extLst>
        </c:ser>
        <c:ser>
          <c:idx val="2"/>
          <c:order val="2"/>
          <c:tx>
            <c:strRef>
              <c:f>'Obj4'!$D$3:$D$4</c:f>
              <c:strCache>
                <c:ptCount val="1"/>
                <c:pt idx="0">
                  <c:v>Pending</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'Obj4'!$A$5:$A$12</c:f>
              <c:strCache>
                <c:ptCount val="7"/>
                <c:pt idx="0">
                  <c:v>Chair</c:v>
                </c:pt>
                <c:pt idx="1">
                  <c:v>Desk</c:v>
                </c:pt>
                <c:pt idx="2">
                  <c:v>Laptop</c:v>
                </c:pt>
                <c:pt idx="3">
                  <c:v>Monitor</c:v>
                </c:pt>
                <c:pt idx="4">
                  <c:v>Phone</c:v>
                </c:pt>
                <c:pt idx="5">
                  <c:v>Printer</c:v>
                </c:pt>
                <c:pt idx="6">
                  <c:v>Tablet</c:v>
                </c:pt>
              </c:strCache>
            </c:strRef>
          </c:cat>
          <c:val>
            <c:numRef>
              <c:f>'Obj4'!$D$5:$D$12</c:f>
              <c:numCache>
                <c:formatCode>General</c:formatCode>
                <c:ptCount val="7"/>
                <c:pt idx="0">
                  <c:v>145</c:v>
                </c:pt>
                <c:pt idx="1">
                  <c:v>124</c:v>
                </c:pt>
                <c:pt idx="2">
                  <c:v>85</c:v>
                </c:pt>
                <c:pt idx="3">
                  <c:v>92</c:v>
                </c:pt>
                <c:pt idx="4">
                  <c:v>90</c:v>
                </c:pt>
                <c:pt idx="5">
                  <c:v>104</c:v>
                </c:pt>
                <c:pt idx="6">
                  <c:v>84</c:v>
                </c:pt>
              </c:numCache>
            </c:numRef>
          </c:val>
          <c:extLst>
            <c:ext xmlns:c16="http://schemas.microsoft.com/office/drawing/2014/chart" uri="{C3380CC4-5D6E-409C-BE32-E72D297353CC}">
              <c16:uniqueId val="{00000012-E2B3-48AC-976A-F36BD87C6BA2}"/>
            </c:ext>
          </c:extLst>
        </c:ser>
        <c:ser>
          <c:idx val="3"/>
          <c:order val="3"/>
          <c:tx>
            <c:strRef>
              <c:f>'Obj4'!$E$3:$E$4</c:f>
              <c:strCache>
                <c:ptCount val="1"/>
                <c:pt idx="0">
                  <c:v>Returned</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'Obj4'!$A$5:$A$12</c:f>
              <c:strCache>
                <c:ptCount val="7"/>
                <c:pt idx="0">
                  <c:v>Chair</c:v>
                </c:pt>
                <c:pt idx="1">
                  <c:v>Desk</c:v>
                </c:pt>
                <c:pt idx="2">
                  <c:v>Laptop</c:v>
                </c:pt>
                <c:pt idx="3">
                  <c:v>Monitor</c:v>
                </c:pt>
                <c:pt idx="4">
                  <c:v>Phone</c:v>
                </c:pt>
                <c:pt idx="5">
                  <c:v>Printer</c:v>
                </c:pt>
                <c:pt idx="6">
                  <c:v>Tablet</c:v>
                </c:pt>
              </c:strCache>
            </c:strRef>
          </c:cat>
          <c:val>
            <c:numRef>
              <c:f>'Obj4'!$E$5:$E$12</c:f>
              <c:numCache>
                <c:formatCode>General</c:formatCode>
                <c:ptCount val="7"/>
                <c:pt idx="0">
                  <c:v>71</c:v>
                </c:pt>
                <c:pt idx="1">
                  <c:v>86</c:v>
                </c:pt>
                <c:pt idx="2">
                  <c:v>114</c:v>
                </c:pt>
                <c:pt idx="3">
                  <c:v>97</c:v>
                </c:pt>
                <c:pt idx="4">
                  <c:v>77</c:v>
                </c:pt>
                <c:pt idx="5">
                  <c:v>114</c:v>
                </c:pt>
                <c:pt idx="6">
                  <c:v>123</c:v>
                </c:pt>
              </c:numCache>
            </c:numRef>
          </c:val>
          <c:extLst>
            <c:ext xmlns:c16="http://schemas.microsoft.com/office/drawing/2014/chart" uri="{C3380CC4-5D6E-409C-BE32-E72D297353CC}">
              <c16:uniqueId val="{00000013-E2B3-48AC-976A-F36BD87C6BA2}"/>
            </c:ext>
          </c:extLst>
        </c:ser>
        <c:ser>
          <c:idx val="4"/>
          <c:order val="4"/>
          <c:tx>
            <c:strRef>
              <c:f>'Obj4'!$F$3:$F$4</c:f>
              <c:strCache>
                <c:ptCount val="1"/>
                <c:pt idx="0">
                  <c:v>Shipped</c:v>
                </c:pt>
              </c:strCache>
            </c:strRef>
          </c:tx>
          <c:spPr>
            <a:solidFill>
              <a:schemeClr val="accent5">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'Obj4'!$A$5:$A$12</c:f>
              <c:strCache>
                <c:ptCount val="7"/>
                <c:pt idx="0">
                  <c:v>Chair</c:v>
                </c:pt>
                <c:pt idx="1">
                  <c:v>Desk</c:v>
                </c:pt>
                <c:pt idx="2">
                  <c:v>Laptop</c:v>
                </c:pt>
                <c:pt idx="3">
                  <c:v>Monitor</c:v>
                </c:pt>
                <c:pt idx="4">
                  <c:v>Phone</c:v>
                </c:pt>
                <c:pt idx="5">
                  <c:v>Printer</c:v>
                </c:pt>
                <c:pt idx="6">
                  <c:v>Tablet</c:v>
                </c:pt>
              </c:strCache>
            </c:strRef>
          </c:cat>
          <c:val>
            <c:numRef>
              <c:f>'Obj4'!$F$5:$F$12</c:f>
              <c:numCache>
                <c:formatCode>General</c:formatCode>
                <c:ptCount val="7"/>
                <c:pt idx="0">
                  <c:v>99</c:v>
                </c:pt>
                <c:pt idx="1">
                  <c:v>97</c:v>
                </c:pt>
                <c:pt idx="2">
                  <c:v>102</c:v>
                </c:pt>
                <c:pt idx="3">
                  <c:v>93</c:v>
                </c:pt>
                <c:pt idx="4">
                  <c:v>63</c:v>
                </c:pt>
                <c:pt idx="5">
                  <c:v>124</c:v>
                </c:pt>
                <c:pt idx="6">
                  <c:v>102</c:v>
                </c:pt>
              </c:numCache>
            </c:numRef>
          </c:val>
          <c:extLst>
            <c:ext xmlns:c16="http://schemas.microsoft.com/office/drawing/2014/chart" uri="{C3380CC4-5D6E-409C-BE32-E72D297353CC}">
              <c16:uniqueId val="{00000014-E2B3-48AC-976A-F36BD87C6BA2}"/>
            </c:ext>
          </c:extLst>
        </c:ser>
        <c:dLbls>
          <c:dLblPos val="ctr"/>
          <c:showLegendKey val="0"/>
          <c:showVal val="1"/>
          <c:showCatName val="0"/>
          <c:showSerName val="0"/>
          <c:showPercent val="0"/>
          <c:showBubbleSize val="0"/>
        </c:dLbls>
        <c:gapWidth val="150"/>
        <c:overlap val="100"/>
        <c:axId val="576832575"/>
        <c:axId val="576831615"/>
      </c:barChart>
      <c:catAx>
        <c:axId val="5768325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576831615"/>
        <c:crosses val="autoZero"/>
        <c:auto val="1"/>
        <c:lblAlgn val="ctr"/>
        <c:lblOffset val="100"/>
        <c:noMultiLvlLbl val="0"/>
      </c:catAx>
      <c:valAx>
        <c:axId val="576831615"/>
        <c:scaling>
          <c:orientation val="minMax"/>
        </c:scaling>
        <c:delete val="1"/>
        <c:axPos val="b"/>
        <c:numFmt formatCode="General" sourceLinked="1"/>
        <c:majorTickMark val="none"/>
        <c:minorTickMark val="none"/>
        <c:tickLblPos val="nextTo"/>
        <c:crossAx val="57683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[KrinaSuthar_ExcelDashboard.xlsx]Obj6!PivotTable17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Coupon Code Used by Customer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'Obj6'!$B$3</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'Obj6'!$A$4:$A$8</c:f>
              <c:strCache>
                <c:ptCount val="4"/>
                <c:pt idx="0">
                  <c:v>FREESHIP</c:v>
                </c:pt>
                <c:pt idx="1">
                  <c:v>NA</c:v>
                </c:pt>
                <c:pt idx="2">
                  <c:v>SAVE10</c:v>
                </c:pt>
                <c:pt idx="3">
                  <c:v>WINTER15</c:v>
                </c:pt>
              </c:strCache>
            </c:strRef>
          </c:cat>
          <c:val>
            <c:numRef>
              <c:f>'Obj6'!$B$4:$B$8</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0-2C6D-4F9F-9576-973D1ED840C0}"/>
            </c:ext>
          </c:extLst>
        </c:ser>
        <c:dLbls>
          <c:showLegendKey val="0"/>
          <c:showVal val="0"/>
          <c:showCatName val="0"/>
          <c:showSerName val="0"/>
          <c:showPercent val="0"/>
          <c:showBubbleSize val="0"/>
        </c:dLbls>
        <c:gapWidth val="65"/>
        <c:shape val="box"/>
        <c:axId val="653221823"/>
        <c:axId val="653223743"/>
        <c:axId val="0"/>
      </c:bar3DChart>
      <c:catAx>
        <c:axId val="6532218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3223743"/>
        <c:crosses val="autoZero"/>
        <c:auto val="1"/>
        <c:lblAlgn val="ctr"/>
        <c:lblOffset val="100"/>
        <c:noMultiLvlLbl val="0"/>
      </c:catAx>
      <c:valAx>
        <c:axId val="6532237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322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[KrinaSuthar_ExcelDashboard.xlsx]Obj3!PivotTable3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'Obj3'!$B$3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'Obj3'!$A$4:$A$9</c:f>
              <c:strCache>
                <c:ptCount val="5"/>
                <c:pt idx="0">
                  <c:v>Cash</c:v>
                </c:pt>
                <c:pt idx="1">
                  <c:v>Credit Card</c:v>
                </c:pt>
                <c:pt idx="2">
                  <c:v>Debit Card</c:v>
                </c:pt>
                <c:pt idx="3">
                  <c:v>Gift Card</c:v>
                </c:pt>
                <c:pt idx="4">
                  <c:v>Online</c:v>
                </c:pt>
              </c:strCache>
            </c:strRef>
          </c:cat>
          <c:val>
            <c:numRef>
              <c:f>'Obj3'!$B$4:$B$9</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2BE7-49C0-9A89-1F694AB3A55F}"/>
            </c:ext>
          </c:extLst>
        </c:ser>
        <c:dLbls>
          <c:showLegendKey val="0"/>
          <c:showVal val="1"/>
          <c:showCatName val="0"/>
          <c:showSerName val="0"/>
          <c:showPercent val="0"/>
          <c:showBubbleSize val="0"/>
        </c:dLbls>
        <c:gapWidth val="65"/>
        <c:shape val="box"/>
        <c:axId val="419248863"/>
        <c:axId val="419246943"/>
        <c:axId val="0"/>
      </c:bar3DChart>
      <c:catAx>
        <c:axId val="4192488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419246943"/>
        <c:crosses val="autoZero"/>
        <c:auto val="1"/>
        <c:lblAlgn val="ctr"/>
        <c:lblOffset val="100"/>
        <c:noMultiLvlLbl val="0"/>
      </c:catAx>
      <c:valAx>
        <c:axId val="41924694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1924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Customers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a:rPr>
            <a:t>Top 10 Customers</a:t>
          </a:r>
        </a:p>
      </cx:txPr>
    </cx:title>
    <cx:plotArea>
      <cx:plotAreaRegion>
        <cx:series layoutId="funnel" uniqueId="{50F8DEAE-C818-408C-8D3C-45B34299F0AC}">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solidFill>
                  <a:latin typeface="Calibri"/>
                </a:endParaRPr>
              </a:p>
            </cx:txPr>
            <cx:visibility seriesName="0" categoryName="0" value="1"/>
          </cx:dataLabels>
          <cx:dataId val="0"/>
        </cx:series>
      </cx:plotAreaRegion>
      <cx:axis id="1">
        <cx:catScaling gapWidth="0.150000006"/>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75000"/>
                  <a:lumOff val="25000"/>
                </a:sysClr>
              </a:solidFill>
              <a:latin typeface="Calibri"/>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Referral Source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a:rPr>
            <a:t>Referral Source</a:t>
          </a:r>
        </a:p>
      </cx:txPr>
    </cx:title>
    <cx:plotArea>
      <cx:plotAreaRegion>
        <cx:series layoutId="clusteredColumn" uniqueId="{A1AECBB0-4E9B-4CE5-AA8B-D41BA530F5F0}">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solidFill>
                  <a:latin typeface="Calibri"/>
                </a:endParaRPr>
              </a:p>
            </cx:txPr>
            <cx:visibility seriesName="0" categoryName="0" value="1"/>
          </cx:dataLabels>
          <cx:dataId val="0"/>
          <cx:layoutPr>
            <cx:aggregation/>
          </cx:layoutPr>
          <cx:axisId val="1"/>
        </cx:series>
        <cx:series layoutId="paretoLine" ownerIdx="0" uniqueId="{EE5D1552-BDBB-4112-BCFF-1770CE732474}">
          <cx:spPr>
            <a:ln>
              <a:noFill/>
            </a:ln>
          </cx:spPr>
          <cx:axisId val="2"/>
        </cx:series>
      </cx:plotAreaRegion>
      <cx:axis id="0">
        <cx:catScaling gapWidth="0"/>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75000"/>
                  <a:lumOff val="25000"/>
                </a:sysClr>
              </a:solidFill>
              <a:latin typeface="Calibri"/>
            </a:endParaRPr>
          </a:p>
        </cx:txPr>
      </cx:axis>
      <cx:axis id="1">
        <cx:valScaling/>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75000"/>
                  <a:lumOff val="25000"/>
                </a:sysClr>
              </a:solidFill>
              <a:latin typeface="Calibri"/>
            </a:endParaRPr>
          </a:p>
        </cx:txPr>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Referral Source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a:rPr>
            <a:t>Referral Source</a:t>
          </a:r>
        </a:p>
      </cx:txPr>
    </cx:title>
    <cx:plotArea>
      <cx:plotAreaRegion>
        <cx:series layoutId="clusteredColumn" uniqueId="{A1AECBB0-4E9B-4CE5-AA8B-D41BA530F5F0}">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solidFill>
                  <a:latin typeface="Calibri"/>
                </a:endParaRPr>
              </a:p>
            </cx:txPr>
            <cx:visibility seriesName="0" categoryName="0" value="1"/>
          </cx:dataLabels>
          <cx:dataId val="0"/>
          <cx:layoutPr>
            <cx:aggregation/>
          </cx:layoutPr>
          <cx:axisId val="1"/>
        </cx:series>
        <cx:series layoutId="paretoLine" ownerIdx="0" uniqueId="{EE5D1552-BDBB-4112-BCFF-1770CE732474}">
          <cx:spPr>
            <a:ln>
              <a:noFill/>
            </a:ln>
          </cx:spPr>
          <cx:axisId val="2"/>
        </cx:series>
      </cx:plotAreaRegion>
      <cx:axis id="0">
        <cx:catScaling gapWidth="0"/>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75000"/>
                  <a:lumOff val="25000"/>
                </a:sysClr>
              </a:solidFill>
              <a:latin typeface="Calibri"/>
            </a:endParaRPr>
          </a:p>
        </cx:txPr>
      </cx:axis>
      <cx:axis id="1">
        <cx:valScaling/>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75000"/>
                  <a:lumOff val="25000"/>
                </a:sysClr>
              </a:solidFill>
              <a:latin typeface="Calibri"/>
            </a:endParaRPr>
          </a:p>
        </cx:txPr>
      </cx:axis>
      <cx:axis id="2">
        <cx:valScaling max="1" min="0"/>
        <cx:units unit="percentag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tx>
        <cx:txData>
          <cx:v>Top 10 Customers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a:rPr>
            <a:t>Top 10 Customers</a:t>
          </a:r>
        </a:p>
      </cx:txPr>
    </cx:title>
    <cx:plotArea>
      <cx:plotAreaRegion>
        <cx:series layoutId="funnel" uniqueId="{50F8DEAE-C818-408C-8D3C-45B34299F0AC}">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solidFill>
                  <a:latin typeface="Calibri"/>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75000"/>
                  <a:lumOff val="25000"/>
                </a:sysClr>
              </a:solidFill>
              <a:latin typeface="Calibri"/>
            </a:endParaRPr>
          </a:p>
        </cx:txPr>
      </cx:axis>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9.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883920</xdr:colOff>
      <xdr:row>6</xdr:row>
      <xdr:rowOff>41910</xdr:rowOff>
    </xdr:from>
    <xdr:to>
      <xdr:col>10</xdr:col>
      <xdr:colOff>144780</xdr:colOff>
      <xdr:row>21</xdr:row>
      <xdr:rowOff>41910</xdr:rowOff>
    </xdr:to>
    <xdr:graphicFrame macro="">
      <xdr:nvGraphicFramePr>
        <xdr:cNvPr id="5" name="Chart 4">
          <a:extLst>
            <a:ext uri="{FF2B5EF4-FFF2-40B4-BE49-F238E27FC236}">
              <a16:creationId xmlns:a16="http://schemas.microsoft.com/office/drawing/2014/main" id="{4EC1DDDB-A50A-DA1A-C653-D727608B6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495300</xdr:colOff>
      <xdr:row>13</xdr:row>
      <xdr:rowOff>30481</xdr:rowOff>
    </xdr:from>
    <xdr:to>
      <xdr:col>2</xdr:col>
      <xdr:colOff>236220</xdr:colOff>
      <xdr:row>22</xdr:row>
      <xdr:rowOff>175261</xdr:rowOff>
    </xdr:to>
    <mc:AlternateContent xmlns:mc="http://schemas.openxmlformats.org/markup-compatibility/2006">
      <mc:Choice xmlns:a14="http://schemas.microsoft.com/office/drawing/2010/main" Requires="a14">
        <xdr:graphicFrame macro="">
          <xdr:nvGraphicFramePr>
            <xdr:cNvPr id="2" name="OrderStatus 1">
              <a:extLst>
                <a:ext uri="{FF2B5EF4-FFF2-40B4-BE49-F238E27FC236}">
                  <a16:creationId xmlns:a16="http://schemas.microsoft.com/office/drawing/2014/main" id="{46FB4DED-2634-E30A-7B87-9BA4CF2174BA}"/>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dr:sp macro="" textlink="">
          <xdr:nvSpPr>
            <xdr:cNvPr id="0" name=""/>
            <xdr:cNvSpPr>
              <a:spLocks noTextEdit="1"/>
            </xdr:cNvSpPr>
          </xdr:nvSpPr>
          <xdr:spPr>
            <a:xfrm>
              <a:off x="495300" y="240792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13</xdr:row>
      <xdr:rowOff>11430</xdr:rowOff>
    </xdr:from>
    <xdr:to>
      <xdr:col>10</xdr:col>
      <xdr:colOff>312420</xdr:colOff>
      <xdr:row>28</xdr:row>
      <xdr:rowOff>11430</xdr:rowOff>
    </xdr:to>
    <xdr:graphicFrame macro="">
      <xdr:nvGraphicFramePr>
        <xdr:cNvPr id="3" name="Chart 2">
          <a:extLst>
            <a:ext uri="{FF2B5EF4-FFF2-40B4-BE49-F238E27FC236}">
              <a16:creationId xmlns:a16="http://schemas.microsoft.com/office/drawing/2014/main" id="{82A7480E-E0D9-133D-B4DD-AC84A6132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114300</xdr:colOff>
      <xdr:row>6</xdr:row>
      <xdr:rowOff>41910</xdr:rowOff>
    </xdr:from>
    <xdr:to>
      <xdr:col>11</xdr:col>
      <xdr:colOff>419100</xdr:colOff>
      <xdr:row>21</xdr:row>
      <xdr:rowOff>41910</xdr:rowOff>
    </xdr:to>
    <xdr:graphicFrame macro="">
      <xdr:nvGraphicFramePr>
        <xdr:cNvPr id="4" name="Chart 3">
          <a:extLst>
            <a:ext uri="{FF2B5EF4-FFF2-40B4-BE49-F238E27FC236}">
              <a16:creationId xmlns:a16="http://schemas.microsoft.com/office/drawing/2014/main" id="{3E6CFBB0-3BA3-7EBA-7014-C64752C7B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236220</xdr:colOff>
      <xdr:row>6</xdr:row>
      <xdr:rowOff>41910</xdr:rowOff>
    </xdr:from>
    <xdr:to>
      <xdr:col>10</xdr:col>
      <xdr:colOff>541020</xdr:colOff>
      <xdr:row>21</xdr:row>
      <xdr:rowOff>41910</xdr:rowOff>
    </xdr:to>
    <xdr:graphicFrame macro="">
      <xdr:nvGraphicFramePr>
        <xdr:cNvPr id="2" name="Chart 1">
          <a:extLst>
            <a:ext uri="{FF2B5EF4-FFF2-40B4-BE49-F238E27FC236}">
              <a16:creationId xmlns:a16="http://schemas.microsoft.com/office/drawing/2014/main" id="{DCF716A0-79B6-E539-9845-03B8DCB87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381000</xdr:colOff>
      <xdr:row>2</xdr:row>
      <xdr:rowOff>80010</xdr:rowOff>
    </xdr:from>
    <xdr:to>
      <xdr:col>13</xdr:col>
      <xdr:colOff>198120</xdr:colOff>
      <xdr:row>17</xdr:row>
      <xdr:rowOff>80010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0BC02FE-3884-ACBF-A9D8-E77449CA95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22520" y="4457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373380</xdr:colOff>
      <xdr:row>10</xdr:row>
      <xdr:rowOff>49530</xdr:rowOff>
    </xdr:from>
    <xdr:to>
      <xdr:col>10</xdr:col>
      <xdr:colOff>68580</xdr:colOff>
      <xdr:row>25</xdr:row>
      <xdr:rowOff>49530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8495233-ADD0-0A89-434D-4AE9CF0AF3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29840" y="18783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464820</xdr:colOff>
      <xdr:row>4</xdr:row>
      <xdr:rowOff>175261</xdr:rowOff>
    </xdr:from>
    <xdr:to>
      <xdr:col>12</xdr:col>
      <xdr:colOff>243840</xdr:colOff>
      <xdr:row>13</xdr:row>
      <xdr:rowOff>1</xdr:rowOff>
    </xdr:to>
    <mc:AlternateContent xmlns:mc="http://schemas.openxmlformats.org/markup-compatibility/2006">
      <mc:Choice xmlns:a14="http://schemas.microsoft.com/office/drawing/2010/main" Requires="a14">
        <xdr:graphicFrame macro="">
          <xdr:nvGraphicFramePr>
            <xdr:cNvPr id="2" name="Months (Date)">
              <a:extLst>
                <a:ext uri="{FF2B5EF4-FFF2-40B4-BE49-F238E27FC236}">
                  <a16:creationId xmlns:a16="http://schemas.microsoft.com/office/drawing/2014/main" id="{6BA19AF8-F193-79E5-FC93-1CA088ACDFF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6728460" y="906781"/>
              <a:ext cx="221742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14</xdr:row>
      <xdr:rowOff>60961</xdr:rowOff>
    </xdr:from>
    <xdr:to>
      <xdr:col>12</xdr:col>
      <xdr:colOff>152400</xdr:colOff>
      <xdr:row>19</xdr:row>
      <xdr:rowOff>60960</xdr:rowOff>
    </xdr:to>
    <mc:AlternateContent xmlns:mc="http://schemas.openxmlformats.org/markup-compatibility/2006">
      <mc:Choice xmlns:a14="http://schemas.microsoft.com/office/drawing/2010/main" Requires="a14">
        <xdr:graphicFrame macro="">
          <xdr:nvGraphicFramePr>
            <xdr:cNvPr id="3" name="Years (Date)">
              <a:extLst>
                <a:ext uri="{FF2B5EF4-FFF2-40B4-BE49-F238E27FC236}">
                  <a16:creationId xmlns:a16="http://schemas.microsoft.com/office/drawing/2014/main" id="{B0831B26-142C-AF01-A9B9-178C32BABA2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7025640" y="2621281"/>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38097</xdr:colOff>
      <xdr:row>4</xdr:row>
      <xdr:rowOff>4482</xdr:rowOff>
    </xdr:from>
    <xdr:to>
      <xdr:col>2</xdr:col>
      <xdr:colOff>601497</xdr:colOff>
      <xdr:row>10</xdr:row>
      <xdr:rowOff>134471</xdr:rowOff>
    </xdr:to>
    <mc:AlternateContent xmlns:mc="http://schemas.openxmlformats.org/markup-compatibility/2006">
      <mc:Choice xmlns:a14="http://schemas.microsoft.com/office/drawing/2010/main" Requires="a14">
        <xdr:graphicFrame macro="">
          <xdr:nvGraphicFramePr>
            <xdr:cNvPr id="2" name="OrderStatus 2">
              <a:extLst>
                <a:ext uri="{FF2B5EF4-FFF2-40B4-BE49-F238E27FC236}">
                  <a16:creationId xmlns:a16="http://schemas.microsoft.com/office/drawing/2014/main" id="{4270D056-3ED8-4475-9299-B68350F90A55}"/>
                </a:ext>
              </a:extLst>
            </xdr:cNvPr>
            <xdr:cNvGraphicFramePr/>
          </xdr:nvGraphicFramePr>
          <xdr:xfrm>
            <a:off x="0" y="0"/>
            <a:ext cx="0" cy="0"/>
          </xdr:xfrm>
          <a:graphic>
            <a:graphicData uri="http://schemas.microsoft.com/office/drawing/2010/slicer">
              <sle:slicer xmlns:sle="http://schemas.microsoft.com/office/drawing/2010/slicer" name="OrderStatus 2"/>
            </a:graphicData>
          </a:graphic>
        </xdr:graphicFrame>
      </mc:Choice>
      <mc:Fallback>
        <xdr:sp macro="" textlink="">
          <xdr:nvSpPr>
            <xdr:cNvPr id="0" name=""/>
            <xdr:cNvSpPr>
              <a:spLocks noTextEdit="1"/>
            </xdr:cNvSpPr>
          </xdr:nvSpPr>
          <xdr:spPr>
            <a:xfrm>
              <a:off x="253250" y="721658"/>
              <a:ext cx="1173000" cy="1205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53787</xdr:colOff>
      <xdr:row>13</xdr:row>
      <xdr:rowOff>134470</xdr:rowOff>
    </xdr:from>
    <xdr:to>
      <xdr:col>6</xdr:col>
      <xdr:colOff>797859</xdr:colOff>
      <xdr:row>23</xdr:row>
      <xdr:rowOff>134470</xdr:rowOff>
    </xdr:to>
    <xdr:graphicFrame macro="">
      <xdr:nvGraphicFramePr>
        <xdr:cNvPr id="3" name="Chart 2">
          <a:extLst>
            <a:ext uri="{FF2B5EF4-FFF2-40B4-BE49-F238E27FC236}">
              <a16:creationId xmlns:a16="http://schemas.microsoft.com/office/drawing/2014/main" id="{6A199A3F-CB0D-4D7F-934F-E3D4AB01F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125507</xdr:colOff>
      <xdr:row>18</xdr:row>
      <xdr:rowOff>116540</xdr:rowOff>
    </xdr:from>
    <xdr:to>
      <xdr:col>22</xdr:col>
      <xdr:colOff>475130</xdr:colOff>
      <xdr:row>31</xdr:row>
      <xdr:rowOff>17928</xdr:rowOff>
    </xdr:to>
    <xdr:graphicFrame macro="">
      <xdr:nvGraphicFramePr>
        <xdr:cNvPr id="4" name="Chart 3">
          <a:extLst>
            <a:ext uri="{FF2B5EF4-FFF2-40B4-BE49-F238E27FC236}">
              <a16:creationId xmlns:a16="http://schemas.microsoft.com/office/drawing/2014/main" id="{C54B73DA-A153-451E-8BFC-1C1A212E8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181960</xdr:colOff>
      <xdr:row>14</xdr:row>
      <xdr:rowOff>19156</xdr:rowOff>
    </xdr:from>
    <xdr:to>
      <xdr:col>14</xdr:col>
      <xdr:colOff>385484</xdr:colOff>
      <xdr:row>34</xdr:row>
      <xdr:rowOff>161365</xdr:rowOff>
    </xdr:to>
    <xdr:graphicFrame macro="">
      <xdr:nvGraphicFramePr>
        <xdr:cNvPr id="5" name="Chart 4">
          <a:extLst>
            <a:ext uri="{FF2B5EF4-FFF2-40B4-BE49-F238E27FC236}">
              <a16:creationId xmlns:a16="http://schemas.microsoft.com/office/drawing/2014/main" id="{9091DF6D-28A1-4F11-B4BC-16FC5CB61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71716</xdr:colOff>
      <xdr:row>3</xdr:row>
      <xdr:rowOff>89647</xdr:rowOff>
    </xdr:from>
    <xdr:to>
      <xdr:col>22</xdr:col>
      <xdr:colOff>493058</xdr:colOff>
      <xdr:row>16</xdr:row>
      <xdr:rowOff>62752</xdr:rowOff>
    </xdr:to>
    <xdr:graphicFrame macro="">
      <xdr:nvGraphicFramePr>
        <xdr:cNvPr id="6" name="Chart 5">
          <a:extLst>
            <a:ext uri="{FF2B5EF4-FFF2-40B4-BE49-F238E27FC236}">
              <a16:creationId xmlns:a16="http://schemas.microsoft.com/office/drawing/2014/main" id="{865EA95B-F8DC-40CF-9CA4-718903CD6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103989</xdr:colOff>
      <xdr:row>27</xdr:row>
      <xdr:rowOff>8965</xdr:rowOff>
    </xdr:from>
    <xdr:to>
      <xdr:col>6</xdr:col>
      <xdr:colOff>770965</xdr:colOff>
      <xdr:row>39</xdr:row>
      <xdr:rowOff>89647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069FADE-50EB-451C-866E-A201F1730C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19142" y="4849906"/>
              <a:ext cx="3714976" cy="22322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53788</xdr:colOff>
      <xdr:row>4</xdr:row>
      <xdr:rowOff>17929</xdr:rowOff>
    </xdr:from>
    <xdr:to>
      <xdr:col>7</xdr:col>
      <xdr:colOff>61985</xdr:colOff>
      <xdr:row>10</xdr:row>
      <xdr:rowOff>134469</xdr:rowOff>
    </xdr:to>
    <mc:AlternateContent xmlns:mc="http://schemas.openxmlformats.org/markup-compatibility/2006">
      <mc:Choice xmlns:a14="http://schemas.microsoft.com/office/drawing/2010/main" Requires="a14">
        <xdr:graphicFrame macro="">
          <xdr:nvGraphicFramePr>
            <xdr:cNvPr id="8" name="Months (Date) 1">
              <a:extLst>
                <a:ext uri="{FF2B5EF4-FFF2-40B4-BE49-F238E27FC236}">
                  <a16:creationId xmlns:a16="http://schemas.microsoft.com/office/drawing/2014/main" id="{3A82B289-A40E-4DB0-B2B2-9150860A0B98}"/>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1488141" y="735105"/>
              <a:ext cx="2814150" cy="1192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166293</xdr:colOff>
      <xdr:row>4</xdr:row>
      <xdr:rowOff>20170</xdr:rowOff>
    </xdr:from>
    <xdr:to>
      <xdr:col>9</xdr:col>
      <xdr:colOff>523505</xdr:colOff>
      <xdr:row>10</xdr:row>
      <xdr:rowOff>116540</xdr:rowOff>
    </xdr:to>
    <mc:AlternateContent xmlns:mc="http://schemas.openxmlformats.org/markup-compatibility/2006">
      <mc:Choice xmlns:a14="http://schemas.microsoft.com/office/drawing/2010/main" Requires="a14">
        <xdr:graphicFrame macro="">
          <xdr:nvGraphicFramePr>
            <xdr:cNvPr id="9" name="Years (Date) 1">
              <a:extLst>
                <a:ext uri="{FF2B5EF4-FFF2-40B4-BE49-F238E27FC236}">
                  <a16:creationId xmlns:a16="http://schemas.microsoft.com/office/drawing/2014/main" id="{65C39412-045E-452B-8240-12B8F54F9E90}"/>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4406599" y="737346"/>
              <a:ext cx="1173000" cy="1172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166745</xdr:colOff>
      <xdr:row>3</xdr:row>
      <xdr:rowOff>116543</xdr:rowOff>
    </xdr:from>
    <xdr:to>
      <xdr:col>29</xdr:col>
      <xdr:colOff>98613</xdr:colOff>
      <xdr:row>16</xdr:row>
      <xdr:rowOff>53789</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2D6CC11A-ADAC-40AD-98D4-A7856130CD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753192" y="654425"/>
              <a:ext cx="2979868" cy="22680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98612</xdr:colOff>
      <xdr:row>18</xdr:row>
      <xdr:rowOff>116541</xdr:rowOff>
    </xdr:from>
    <xdr:to>
      <xdr:col>29</xdr:col>
      <xdr:colOff>251012</xdr:colOff>
      <xdr:row>31</xdr:row>
      <xdr:rowOff>44822</xdr:rowOff>
    </xdr:to>
    <xdr:graphicFrame macro="">
      <xdr:nvGraphicFramePr>
        <xdr:cNvPr id="15" name="Chart 14">
          <a:extLst>
            <a:ext uri="{FF2B5EF4-FFF2-40B4-BE49-F238E27FC236}">
              <a16:creationId xmlns:a16="http://schemas.microsoft.com/office/drawing/2014/main" id="{6BDBF1D2-328C-4E9F-8B89-21D19E72E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na Suthar" refreshedDate="46010.742755439816" createdVersion="8" refreshedVersion="8" minRefreshableVersion="3" recordCount="1200" xr:uid="{DACEF677-30FD-4A0F-90A5-93D6801A2858}">
  <cacheSource type="worksheet">
    <worksheetSource ref="A1:N1201" sheet="Dataset"/>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0">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ount="1200">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InCart" numFmtId="0">
      <sharedItems containsSemiMixedTypes="0" containsString="0" containsNumber="1" containsInteger="1" minValue="1" maxValue="10"/>
    </cacheField>
    <cacheField name="CouponCode" numFmtId="0">
      <sharedItems count="4">
        <s v="SAVE10"/>
        <s v="FREESHIP"/>
        <s v="NA"/>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6830245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na Suthar" refreshedDate="46010.77514849537" createdVersion="8" refreshedVersion="8" minRefreshableVersion="3" recordCount="1200" xr:uid="{DBF7AA8B-EA39-496C-9C3D-3D33DBCA4BF3}">
  <cacheSource type="worksheet">
    <worksheetSource ref="C1:N1201" sheet="Dataset"/>
  </cacheSource>
  <cacheFields count="12">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n v="570.62"/>
    <x v="0"/>
    <x v="0"/>
    <x v="0"/>
    <x v="0"/>
    <n v="7"/>
    <x v="0"/>
    <x v="0"/>
    <n v="2853.1"/>
  </r>
  <r>
    <x v="1"/>
    <x v="1"/>
    <x v="1"/>
    <x v="1"/>
    <x v="1"/>
    <n v="151.35"/>
    <x v="1"/>
    <x v="1"/>
    <x v="0"/>
    <x v="1"/>
    <n v="3"/>
    <x v="0"/>
    <x v="1"/>
    <n v="302.7"/>
  </r>
  <r>
    <x v="2"/>
    <x v="2"/>
    <x v="2"/>
    <x v="2"/>
    <x v="0"/>
    <n v="550.67999999999995"/>
    <x v="2"/>
    <x v="2"/>
    <x v="1"/>
    <x v="2"/>
    <n v="8"/>
    <x v="1"/>
    <x v="2"/>
    <n v="2753.4"/>
  </r>
  <r>
    <x v="3"/>
    <x v="3"/>
    <x v="3"/>
    <x v="3"/>
    <x v="2"/>
    <n v="273.19"/>
    <x v="3"/>
    <x v="0"/>
    <x v="2"/>
    <x v="3"/>
    <n v="5"/>
    <x v="0"/>
    <x v="3"/>
    <n v="273.19"/>
  </r>
  <r>
    <x v="4"/>
    <x v="4"/>
    <x v="4"/>
    <x v="4"/>
    <x v="3"/>
    <n v="626.01"/>
    <x v="4"/>
    <x v="1"/>
    <x v="3"/>
    <x v="4"/>
    <n v="8"/>
    <x v="0"/>
    <x v="2"/>
    <n v="2504.04"/>
  </r>
  <r>
    <x v="5"/>
    <x v="5"/>
    <x v="5"/>
    <x v="1"/>
    <x v="1"/>
    <n v="245.86"/>
    <x v="5"/>
    <x v="2"/>
    <x v="0"/>
    <x v="5"/>
    <n v="4"/>
    <x v="0"/>
    <x v="0"/>
    <n v="491.72"/>
  </r>
  <r>
    <x v="6"/>
    <x v="6"/>
    <x v="6"/>
    <x v="5"/>
    <x v="2"/>
    <n v="664.42"/>
    <x v="6"/>
    <x v="3"/>
    <x v="2"/>
    <x v="6"/>
    <n v="6"/>
    <x v="0"/>
    <x v="3"/>
    <n v="664.42"/>
  </r>
  <r>
    <x v="7"/>
    <x v="7"/>
    <x v="7"/>
    <x v="0"/>
    <x v="0"/>
    <n v="149.55000000000001"/>
    <x v="7"/>
    <x v="4"/>
    <x v="0"/>
    <x v="7"/>
    <n v="9"/>
    <x v="1"/>
    <x v="3"/>
    <n v="747.75"/>
  </r>
  <r>
    <x v="8"/>
    <x v="8"/>
    <x v="8"/>
    <x v="1"/>
    <x v="1"/>
    <n v="134.28"/>
    <x v="8"/>
    <x v="3"/>
    <x v="1"/>
    <x v="8"/>
    <n v="2"/>
    <x v="2"/>
    <x v="2"/>
    <n v="268.56"/>
  </r>
  <r>
    <x v="9"/>
    <x v="9"/>
    <x v="9"/>
    <x v="6"/>
    <x v="3"/>
    <n v="509.38"/>
    <x v="9"/>
    <x v="2"/>
    <x v="0"/>
    <x v="9"/>
    <n v="6"/>
    <x v="0"/>
    <x v="4"/>
    <n v="2037.52"/>
  </r>
  <r>
    <x v="10"/>
    <x v="10"/>
    <x v="10"/>
    <x v="2"/>
    <x v="0"/>
    <n v="625.97"/>
    <x v="10"/>
    <x v="2"/>
    <x v="2"/>
    <x v="10"/>
    <n v="9"/>
    <x v="3"/>
    <x v="0"/>
    <n v="3129.85"/>
  </r>
  <r>
    <x v="11"/>
    <x v="11"/>
    <x v="11"/>
    <x v="0"/>
    <x v="4"/>
    <n v="49.14"/>
    <x v="11"/>
    <x v="1"/>
    <x v="2"/>
    <x v="11"/>
    <n v="7"/>
    <x v="0"/>
    <x v="2"/>
    <n v="147.41999999999999"/>
  </r>
  <r>
    <x v="12"/>
    <x v="12"/>
    <x v="12"/>
    <x v="0"/>
    <x v="1"/>
    <n v="180.5"/>
    <x v="12"/>
    <x v="0"/>
    <x v="4"/>
    <x v="12"/>
    <n v="6"/>
    <x v="1"/>
    <x v="1"/>
    <n v="361"/>
  </r>
  <r>
    <x v="13"/>
    <x v="13"/>
    <x v="13"/>
    <x v="5"/>
    <x v="4"/>
    <n v="201.49"/>
    <x v="13"/>
    <x v="2"/>
    <x v="2"/>
    <x v="13"/>
    <n v="4"/>
    <x v="1"/>
    <x v="3"/>
    <n v="604.47"/>
  </r>
  <r>
    <x v="14"/>
    <x v="14"/>
    <x v="14"/>
    <x v="2"/>
    <x v="1"/>
    <n v="393.33"/>
    <x v="14"/>
    <x v="0"/>
    <x v="4"/>
    <x v="14"/>
    <n v="3"/>
    <x v="0"/>
    <x v="0"/>
    <n v="786.66"/>
  </r>
  <r>
    <x v="15"/>
    <x v="15"/>
    <x v="15"/>
    <x v="4"/>
    <x v="2"/>
    <n v="473.96"/>
    <x v="15"/>
    <x v="4"/>
    <x v="3"/>
    <x v="15"/>
    <n v="3"/>
    <x v="2"/>
    <x v="4"/>
    <n v="473.96"/>
  </r>
  <r>
    <x v="16"/>
    <x v="16"/>
    <x v="16"/>
    <x v="4"/>
    <x v="1"/>
    <n v="533.80999999999995"/>
    <x v="16"/>
    <x v="2"/>
    <x v="4"/>
    <x v="16"/>
    <n v="3"/>
    <x v="1"/>
    <x v="2"/>
    <n v="1067.6199999999999"/>
  </r>
  <r>
    <x v="17"/>
    <x v="17"/>
    <x v="17"/>
    <x v="2"/>
    <x v="2"/>
    <n v="423.4"/>
    <x v="17"/>
    <x v="0"/>
    <x v="0"/>
    <x v="17"/>
    <n v="3"/>
    <x v="2"/>
    <x v="1"/>
    <n v="423.4"/>
  </r>
  <r>
    <x v="18"/>
    <x v="18"/>
    <x v="18"/>
    <x v="6"/>
    <x v="2"/>
    <n v="431.44"/>
    <x v="18"/>
    <x v="3"/>
    <x v="4"/>
    <x v="18"/>
    <n v="3"/>
    <x v="0"/>
    <x v="3"/>
    <n v="431.44"/>
  </r>
  <r>
    <x v="19"/>
    <x v="19"/>
    <x v="19"/>
    <x v="0"/>
    <x v="0"/>
    <n v="224"/>
    <x v="19"/>
    <x v="4"/>
    <x v="2"/>
    <x v="19"/>
    <n v="9"/>
    <x v="0"/>
    <x v="4"/>
    <n v="1120"/>
  </r>
  <r>
    <x v="20"/>
    <x v="20"/>
    <x v="20"/>
    <x v="3"/>
    <x v="0"/>
    <n v="62.51"/>
    <x v="20"/>
    <x v="4"/>
    <x v="4"/>
    <x v="20"/>
    <n v="9"/>
    <x v="3"/>
    <x v="0"/>
    <n v="312.55"/>
  </r>
  <r>
    <x v="21"/>
    <x v="21"/>
    <x v="21"/>
    <x v="0"/>
    <x v="3"/>
    <n v="342.95"/>
    <x v="21"/>
    <x v="4"/>
    <x v="3"/>
    <x v="21"/>
    <n v="6"/>
    <x v="2"/>
    <x v="4"/>
    <n v="1371.8"/>
  </r>
  <r>
    <x v="22"/>
    <x v="22"/>
    <x v="22"/>
    <x v="0"/>
    <x v="1"/>
    <n v="49.62"/>
    <x v="22"/>
    <x v="1"/>
    <x v="4"/>
    <x v="22"/>
    <n v="2"/>
    <x v="0"/>
    <x v="4"/>
    <n v="99.24"/>
  </r>
  <r>
    <x v="23"/>
    <x v="23"/>
    <x v="23"/>
    <x v="1"/>
    <x v="3"/>
    <n v="273.25"/>
    <x v="23"/>
    <x v="0"/>
    <x v="1"/>
    <x v="23"/>
    <n v="5"/>
    <x v="1"/>
    <x v="1"/>
    <n v="1093"/>
  </r>
  <r>
    <x v="24"/>
    <x v="24"/>
    <x v="24"/>
    <x v="5"/>
    <x v="1"/>
    <n v="230.95"/>
    <x v="24"/>
    <x v="1"/>
    <x v="3"/>
    <x v="24"/>
    <n v="3"/>
    <x v="3"/>
    <x v="1"/>
    <n v="461.9"/>
  </r>
  <r>
    <x v="25"/>
    <x v="25"/>
    <x v="25"/>
    <x v="0"/>
    <x v="2"/>
    <n v="399.98"/>
    <x v="25"/>
    <x v="0"/>
    <x v="3"/>
    <x v="25"/>
    <n v="3"/>
    <x v="3"/>
    <x v="2"/>
    <n v="399.98"/>
  </r>
  <r>
    <x v="26"/>
    <x v="26"/>
    <x v="26"/>
    <x v="5"/>
    <x v="0"/>
    <n v="59.55"/>
    <x v="26"/>
    <x v="1"/>
    <x v="3"/>
    <x v="26"/>
    <n v="6"/>
    <x v="2"/>
    <x v="1"/>
    <n v="297.75"/>
  </r>
  <r>
    <x v="27"/>
    <x v="27"/>
    <x v="27"/>
    <x v="4"/>
    <x v="2"/>
    <n v="472.74"/>
    <x v="27"/>
    <x v="1"/>
    <x v="0"/>
    <x v="27"/>
    <n v="6"/>
    <x v="3"/>
    <x v="4"/>
    <n v="472.74"/>
  </r>
  <r>
    <x v="28"/>
    <x v="9"/>
    <x v="28"/>
    <x v="1"/>
    <x v="3"/>
    <n v="160.07"/>
    <x v="28"/>
    <x v="1"/>
    <x v="4"/>
    <x v="28"/>
    <n v="5"/>
    <x v="2"/>
    <x v="2"/>
    <n v="640.28"/>
  </r>
  <r>
    <x v="29"/>
    <x v="28"/>
    <x v="29"/>
    <x v="6"/>
    <x v="4"/>
    <n v="423.53"/>
    <x v="29"/>
    <x v="2"/>
    <x v="3"/>
    <x v="29"/>
    <n v="6"/>
    <x v="0"/>
    <x v="1"/>
    <n v="1270.5899999999999"/>
  </r>
  <r>
    <x v="30"/>
    <x v="29"/>
    <x v="30"/>
    <x v="0"/>
    <x v="1"/>
    <n v="426.7"/>
    <x v="30"/>
    <x v="1"/>
    <x v="4"/>
    <x v="30"/>
    <n v="5"/>
    <x v="0"/>
    <x v="1"/>
    <n v="853.4"/>
  </r>
  <r>
    <x v="31"/>
    <x v="30"/>
    <x v="31"/>
    <x v="3"/>
    <x v="4"/>
    <n v="500.08"/>
    <x v="31"/>
    <x v="0"/>
    <x v="2"/>
    <x v="31"/>
    <n v="6"/>
    <x v="2"/>
    <x v="3"/>
    <n v="1500.24"/>
  </r>
  <r>
    <x v="32"/>
    <x v="31"/>
    <x v="32"/>
    <x v="2"/>
    <x v="0"/>
    <n v="536.72"/>
    <x v="32"/>
    <x v="4"/>
    <x v="3"/>
    <x v="32"/>
    <n v="10"/>
    <x v="2"/>
    <x v="2"/>
    <n v="2683.6"/>
  </r>
  <r>
    <x v="33"/>
    <x v="32"/>
    <x v="33"/>
    <x v="3"/>
    <x v="2"/>
    <n v="162.77000000000001"/>
    <x v="33"/>
    <x v="1"/>
    <x v="1"/>
    <x v="33"/>
    <n v="4"/>
    <x v="3"/>
    <x v="3"/>
    <n v="162.77000000000001"/>
  </r>
  <r>
    <x v="34"/>
    <x v="33"/>
    <x v="34"/>
    <x v="3"/>
    <x v="3"/>
    <n v="576.52"/>
    <x v="34"/>
    <x v="2"/>
    <x v="4"/>
    <x v="34"/>
    <n v="5"/>
    <x v="3"/>
    <x v="3"/>
    <n v="2306.08"/>
  </r>
  <r>
    <x v="35"/>
    <x v="34"/>
    <x v="35"/>
    <x v="0"/>
    <x v="1"/>
    <n v="465.15"/>
    <x v="35"/>
    <x v="1"/>
    <x v="0"/>
    <x v="35"/>
    <n v="2"/>
    <x v="0"/>
    <x v="3"/>
    <n v="930.3"/>
  </r>
  <r>
    <x v="36"/>
    <x v="4"/>
    <x v="36"/>
    <x v="5"/>
    <x v="1"/>
    <n v="534.42999999999995"/>
    <x v="36"/>
    <x v="0"/>
    <x v="4"/>
    <x v="36"/>
    <n v="5"/>
    <x v="2"/>
    <x v="3"/>
    <n v="1068.8599999999999"/>
  </r>
  <r>
    <x v="37"/>
    <x v="35"/>
    <x v="37"/>
    <x v="5"/>
    <x v="1"/>
    <n v="76.739999999999995"/>
    <x v="37"/>
    <x v="4"/>
    <x v="2"/>
    <x v="37"/>
    <n v="7"/>
    <x v="0"/>
    <x v="0"/>
    <n v="153.47999999999999"/>
  </r>
  <r>
    <x v="38"/>
    <x v="36"/>
    <x v="38"/>
    <x v="5"/>
    <x v="2"/>
    <n v="245.89"/>
    <x v="38"/>
    <x v="0"/>
    <x v="3"/>
    <x v="38"/>
    <n v="3"/>
    <x v="0"/>
    <x v="4"/>
    <n v="245.89"/>
  </r>
  <r>
    <x v="39"/>
    <x v="37"/>
    <x v="39"/>
    <x v="4"/>
    <x v="4"/>
    <n v="256.45999999999998"/>
    <x v="39"/>
    <x v="2"/>
    <x v="3"/>
    <x v="39"/>
    <n v="4"/>
    <x v="0"/>
    <x v="1"/>
    <n v="769.37999999999988"/>
  </r>
  <r>
    <x v="40"/>
    <x v="38"/>
    <x v="40"/>
    <x v="6"/>
    <x v="1"/>
    <n v="344.02"/>
    <x v="40"/>
    <x v="1"/>
    <x v="3"/>
    <x v="40"/>
    <n v="4"/>
    <x v="1"/>
    <x v="0"/>
    <n v="688.04"/>
  </r>
  <r>
    <x v="41"/>
    <x v="39"/>
    <x v="41"/>
    <x v="0"/>
    <x v="4"/>
    <n v="611.45000000000005"/>
    <x v="41"/>
    <x v="3"/>
    <x v="4"/>
    <x v="41"/>
    <n v="4"/>
    <x v="1"/>
    <x v="0"/>
    <n v="1834.35"/>
  </r>
  <r>
    <x v="42"/>
    <x v="40"/>
    <x v="42"/>
    <x v="4"/>
    <x v="1"/>
    <n v="151.66"/>
    <x v="14"/>
    <x v="4"/>
    <x v="1"/>
    <x v="42"/>
    <n v="6"/>
    <x v="2"/>
    <x v="0"/>
    <n v="303.32"/>
  </r>
  <r>
    <x v="43"/>
    <x v="41"/>
    <x v="43"/>
    <x v="3"/>
    <x v="4"/>
    <n v="499.21"/>
    <x v="42"/>
    <x v="1"/>
    <x v="1"/>
    <x v="43"/>
    <n v="8"/>
    <x v="2"/>
    <x v="0"/>
    <n v="1497.63"/>
  </r>
  <r>
    <x v="44"/>
    <x v="42"/>
    <x v="44"/>
    <x v="1"/>
    <x v="1"/>
    <n v="550.17999999999995"/>
    <x v="31"/>
    <x v="3"/>
    <x v="2"/>
    <x v="44"/>
    <n v="3"/>
    <x v="1"/>
    <x v="1"/>
    <n v="1100.3599999999999"/>
  </r>
  <r>
    <x v="45"/>
    <x v="43"/>
    <x v="45"/>
    <x v="3"/>
    <x v="2"/>
    <n v="317.25"/>
    <x v="43"/>
    <x v="0"/>
    <x v="2"/>
    <x v="45"/>
    <n v="1"/>
    <x v="0"/>
    <x v="3"/>
    <n v="317.25"/>
  </r>
  <r>
    <x v="46"/>
    <x v="44"/>
    <x v="46"/>
    <x v="0"/>
    <x v="3"/>
    <n v="550.14"/>
    <x v="44"/>
    <x v="0"/>
    <x v="4"/>
    <x v="46"/>
    <n v="4"/>
    <x v="1"/>
    <x v="0"/>
    <n v="2200.56"/>
  </r>
  <r>
    <x v="47"/>
    <x v="45"/>
    <x v="47"/>
    <x v="6"/>
    <x v="1"/>
    <n v="209.94"/>
    <x v="45"/>
    <x v="2"/>
    <x v="2"/>
    <x v="47"/>
    <n v="3"/>
    <x v="1"/>
    <x v="2"/>
    <n v="419.88"/>
  </r>
  <r>
    <x v="48"/>
    <x v="46"/>
    <x v="48"/>
    <x v="0"/>
    <x v="1"/>
    <n v="80.77"/>
    <x v="46"/>
    <x v="0"/>
    <x v="0"/>
    <x v="48"/>
    <n v="4"/>
    <x v="2"/>
    <x v="4"/>
    <n v="161.54"/>
  </r>
  <r>
    <x v="49"/>
    <x v="47"/>
    <x v="49"/>
    <x v="4"/>
    <x v="2"/>
    <n v="30.44"/>
    <x v="22"/>
    <x v="2"/>
    <x v="0"/>
    <x v="49"/>
    <n v="1"/>
    <x v="0"/>
    <x v="2"/>
    <n v="30.44"/>
  </r>
  <r>
    <x v="50"/>
    <x v="48"/>
    <x v="50"/>
    <x v="2"/>
    <x v="2"/>
    <n v="179.22"/>
    <x v="47"/>
    <x v="1"/>
    <x v="1"/>
    <x v="50"/>
    <n v="6"/>
    <x v="1"/>
    <x v="0"/>
    <n v="179.22"/>
  </r>
  <r>
    <x v="51"/>
    <x v="49"/>
    <x v="51"/>
    <x v="2"/>
    <x v="2"/>
    <n v="388.33"/>
    <x v="48"/>
    <x v="4"/>
    <x v="2"/>
    <x v="51"/>
    <n v="2"/>
    <x v="0"/>
    <x v="3"/>
    <n v="388.33"/>
  </r>
  <r>
    <x v="52"/>
    <x v="50"/>
    <x v="52"/>
    <x v="2"/>
    <x v="2"/>
    <n v="586.44000000000005"/>
    <x v="49"/>
    <x v="1"/>
    <x v="2"/>
    <x v="52"/>
    <n v="5"/>
    <x v="0"/>
    <x v="3"/>
    <n v="586.44000000000005"/>
  </r>
  <r>
    <x v="53"/>
    <x v="51"/>
    <x v="53"/>
    <x v="1"/>
    <x v="3"/>
    <n v="488.78"/>
    <x v="2"/>
    <x v="1"/>
    <x v="2"/>
    <x v="53"/>
    <n v="5"/>
    <x v="1"/>
    <x v="4"/>
    <n v="1955.12"/>
  </r>
  <r>
    <x v="54"/>
    <x v="52"/>
    <x v="54"/>
    <x v="3"/>
    <x v="2"/>
    <n v="280.25"/>
    <x v="50"/>
    <x v="1"/>
    <x v="4"/>
    <x v="54"/>
    <n v="5"/>
    <x v="3"/>
    <x v="2"/>
    <n v="280.25"/>
  </r>
  <r>
    <x v="55"/>
    <x v="53"/>
    <x v="55"/>
    <x v="4"/>
    <x v="4"/>
    <n v="344.4"/>
    <x v="51"/>
    <x v="1"/>
    <x v="1"/>
    <x v="55"/>
    <n v="3"/>
    <x v="2"/>
    <x v="3"/>
    <n v="1033.2"/>
  </r>
  <r>
    <x v="56"/>
    <x v="54"/>
    <x v="56"/>
    <x v="2"/>
    <x v="4"/>
    <n v="479.21"/>
    <x v="52"/>
    <x v="4"/>
    <x v="1"/>
    <x v="56"/>
    <n v="5"/>
    <x v="3"/>
    <x v="1"/>
    <n v="1437.63"/>
  </r>
  <r>
    <x v="57"/>
    <x v="55"/>
    <x v="57"/>
    <x v="4"/>
    <x v="0"/>
    <n v="314.27"/>
    <x v="53"/>
    <x v="4"/>
    <x v="2"/>
    <x v="57"/>
    <n v="6"/>
    <x v="0"/>
    <x v="0"/>
    <n v="1571.35"/>
  </r>
  <r>
    <x v="58"/>
    <x v="56"/>
    <x v="58"/>
    <x v="1"/>
    <x v="3"/>
    <n v="474.69"/>
    <x v="54"/>
    <x v="3"/>
    <x v="1"/>
    <x v="58"/>
    <n v="6"/>
    <x v="0"/>
    <x v="4"/>
    <n v="1898.76"/>
  </r>
  <r>
    <x v="59"/>
    <x v="57"/>
    <x v="59"/>
    <x v="3"/>
    <x v="3"/>
    <n v="593.27"/>
    <x v="55"/>
    <x v="1"/>
    <x v="0"/>
    <x v="59"/>
    <n v="5"/>
    <x v="2"/>
    <x v="3"/>
    <n v="2373.08"/>
  </r>
  <r>
    <x v="60"/>
    <x v="58"/>
    <x v="60"/>
    <x v="6"/>
    <x v="2"/>
    <n v="417.1"/>
    <x v="56"/>
    <x v="0"/>
    <x v="2"/>
    <x v="60"/>
    <n v="3"/>
    <x v="1"/>
    <x v="1"/>
    <n v="417.1"/>
  </r>
  <r>
    <x v="61"/>
    <x v="59"/>
    <x v="61"/>
    <x v="6"/>
    <x v="3"/>
    <n v="122.2"/>
    <x v="57"/>
    <x v="4"/>
    <x v="3"/>
    <x v="61"/>
    <n v="7"/>
    <x v="1"/>
    <x v="3"/>
    <n v="488.8"/>
  </r>
  <r>
    <x v="62"/>
    <x v="60"/>
    <x v="62"/>
    <x v="6"/>
    <x v="1"/>
    <n v="43.15"/>
    <x v="58"/>
    <x v="0"/>
    <x v="4"/>
    <x v="62"/>
    <n v="3"/>
    <x v="3"/>
    <x v="2"/>
    <n v="86.3"/>
  </r>
  <r>
    <x v="63"/>
    <x v="61"/>
    <x v="63"/>
    <x v="3"/>
    <x v="2"/>
    <n v="564.86"/>
    <x v="59"/>
    <x v="0"/>
    <x v="0"/>
    <x v="63"/>
    <n v="6"/>
    <x v="3"/>
    <x v="1"/>
    <n v="564.86"/>
  </r>
  <r>
    <x v="64"/>
    <x v="62"/>
    <x v="64"/>
    <x v="4"/>
    <x v="4"/>
    <n v="130.61000000000001"/>
    <x v="60"/>
    <x v="0"/>
    <x v="1"/>
    <x v="64"/>
    <n v="4"/>
    <x v="1"/>
    <x v="3"/>
    <n v="391.83"/>
  </r>
  <r>
    <x v="65"/>
    <x v="63"/>
    <x v="65"/>
    <x v="0"/>
    <x v="0"/>
    <n v="81.7"/>
    <x v="61"/>
    <x v="2"/>
    <x v="3"/>
    <x v="65"/>
    <n v="6"/>
    <x v="2"/>
    <x v="0"/>
    <n v="408.5"/>
  </r>
  <r>
    <x v="66"/>
    <x v="64"/>
    <x v="66"/>
    <x v="3"/>
    <x v="0"/>
    <n v="127.18"/>
    <x v="62"/>
    <x v="4"/>
    <x v="1"/>
    <x v="66"/>
    <n v="9"/>
    <x v="0"/>
    <x v="1"/>
    <n v="635.90000000000009"/>
  </r>
  <r>
    <x v="67"/>
    <x v="65"/>
    <x v="67"/>
    <x v="4"/>
    <x v="3"/>
    <n v="12.1"/>
    <x v="63"/>
    <x v="0"/>
    <x v="1"/>
    <x v="67"/>
    <n v="8"/>
    <x v="2"/>
    <x v="4"/>
    <n v="48.4"/>
  </r>
  <r>
    <x v="68"/>
    <x v="66"/>
    <x v="68"/>
    <x v="3"/>
    <x v="4"/>
    <n v="490.92"/>
    <x v="25"/>
    <x v="2"/>
    <x v="4"/>
    <x v="68"/>
    <n v="5"/>
    <x v="1"/>
    <x v="2"/>
    <n v="1472.76"/>
  </r>
  <r>
    <x v="69"/>
    <x v="67"/>
    <x v="69"/>
    <x v="0"/>
    <x v="4"/>
    <n v="478.65"/>
    <x v="64"/>
    <x v="1"/>
    <x v="0"/>
    <x v="69"/>
    <n v="4"/>
    <x v="2"/>
    <x v="1"/>
    <n v="1435.95"/>
  </r>
  <r>
    <x v="70"/>
    <x v="68"/>
    <x v="70"/>
    <x v="6"/>
    <x v="2"/>
    <n v="629.21"/>
    <x v="65"/>
    <x v="3"/>
    <x v="4"/>
    <x v="70"/>
    <n v="2"/>
    <x v="1"/>
    <x v="0"/>
    <n v="629.21"/>
  </r>
  <r>
    <x v="71"/>
    <x v="69"/>
    <x v="71"/>
    <x v="0"/>
    <x v="4"/>
    <n v="434.45"/>
    <x v="66"/>
    <x v="2"/>
    <x v="4"/>
    <x v="71"/>
    <n v="4"/>
    <x v="2"/>
    <x v="1"/>
    <n v="1303.3499999999999"/>
  </r>
  <r>
    <x v="72"/>
    <x v="70"/>
    <x v="72"/>
    <x v="2"/>
    <x v="3"/>
    <n v="589.44000000000005"/>
    <x v="15"/>
    <x v="3"/>
    <x v="2"/>
    <x v="72"/>
    <n v="5"/>
    <x v="2"/>
    <x v="3"/>
    <n v="2357.7600000000002"/>
  </r>
  <r>
    <x v="73"/>
    <x v="71"/>
    <x v="73"/>
    <x v="0"/>
    <x v="3"/>
    <n v="433.45"/>
    <x v="67"/>
    <x v="3"/>
    <x v="1"/>
    <x v="73"/>
    <n v="4"/>
    <x v="2"/>
    <x v="3"/>
    <n v="1733.8"/>
  </r>
  <r>
    <x v="74"/>
    <x v="72"/>
    <x v="74"/>
    <x v="1"/>
    <x v="0"/>
    <n v="90.87"/>
    <x v="68"/>
    <x v="4"/>
    <x v="4"/>
    <x v="74"/>
    <n v="5"/>
    <x v="2"/>
    <x v="0"/>
    <n v="454.35"/>
  </r>
  <r>
    <x v="75"/>
    <x v="73"/>
    <x v="75"/>
    <x v="2"/>
    <x v="4"/>
    <n v="398.17"/>
    <x v="69"/>
    <x v="0"/>
    <x v="3"/>
    <x v="75"/>
    <n v="5"/>
    <x v="0"/>
    <x v="2"/>
    <n v="1194.51"/>
  </r>
  <r>
    <x v="76"/>
    <x v="74"/>
    <x v="76"/>
    <x v="5"/>
    <x v="3"/>
    <n v="382.88"/>
    <x v="70"/>
    <x v="4"/>
    <x v="1"/>
    <x v="76"/>
    <n v="6"/>
    <x v="3"/>
    <x v="2"/>
    <n v="1531.52"/>
  </r>
  <r>
    <x v="77"/>
    <x v="75"/>
    <x v="77"/>
    <x v="1"/>
    <x v="2"/>
    <n v="583.17999999999995"/>
    <x v="71"/>
    <x v="2"/>
    <x v="2"/>
    <x v="77"/>
    <n v="5"/>
    <x v="2"/>
    <x v="4"/>
    <n v="583.17999999999995"/>
  </r>
  <r>
    <x v="78"/>
    <x v="76"/>
    <x v="78"/>
    <x v="4"/>
    <x v="3"/>
    <n v="175.36"/>
    <x v="72"/>
    <x v="0"/>
    <x v="3"/>
    <x v="78"/>
    <n v="4"/>
    <x v="1"/>
    <x v="0"/>
    <n v="701.44"/>
  </r>
  <r>
    <x v="79"/>
    <x v="77"/>
    <x v="79"/>
    <x v="2"/>
    <x v="1"/>
    <n v="311.91000000000003"/>
    <x v="73"/>
    <x v="1"/>
    <x v="0"/>
    <x v="79"/>
    <n v="2"/>
    <x v="2"/>
    <x v="3"/>
    <n v="623.82000000000005"/>
  </r>
  <r>
    <x v="80"/>
    <x v="78"/>
    <x v="80"/>
    <x v="1"/>
    <x v="4"/>
    <n v="589.55999999999995"/>
    <x v="74"/>
    <x v="1"/>
    <x v="2"/>
    <x v="80"/>
    <n v="6"/>
    <x v="2"/>
    <x v="3"/>
    <n v="1768.68"/>
  </r>
  <r>
    <x v="81"/>
    <x v="79"/>
    <x v="81"/>
    <x v="0"/>
    <x v="1"/>
    <n v="394.3"/>
    <x v="75"/>
    <x v="4"/>
    <x v="0"/>
    <x v="81"/>
    <n v="6"/>
    <x v="1"/>
    <x v="2"/>
    <n v="788.6"/>
  </r>
  <r>
    <x v="82"/>
    <x v="80"/>
    <x v="82"/>
    <x v="2"/>
    <x v="3"/>
    <n v="565.20000000000005"/>
    <x v="76"/>
    <x v="0"/>
    <x v="0"/>
    <x v="82"/>
    <n v="9"/>
    <x v="0"/>
    <x v="4"/>
    <n v="2260.8000000000002"/>
  </r>
  <r>
    <x v="83"/>
    <x v="60"/>
    <x v="83"/>
    <x v="5"/>
    <x v="3"/>
    <n v="540.41"/>
    <x v="77"/>
    <x v="2"/>
    <x v="1"/>
    <x v="83"/>
    <n v="6"/>
    <x v="2"/>
    <x v="1"/>
    <n v="2161.64"/>
  </r>
  <r>
    <x v="84"/>
    <x v="81"/>
    <x v="84"/>
    <x v="0"/>
    <x v="1"/>
    <n v="165.49"/>
    <x v="78"/>
    <x v="1"/>
    <x v="0"/>
    <x v="84"/>
    <n v="4"/>
    <x v="3"/>
    <x v="0"/>
    <n v="330.98"/>
  </r>
  <r>
    <x v="85"/>
    <x v="82"/>
    <x v="85"/>
    <x v="2"/>
    <x v="4"/>
    <n v="146.72999999999999"/>
    <x v="79"/>
    <x v="4"/>
    <x v="3"/>
    <x v="85"/>
    <n v="8"/>
    <x v="1"/>
    <x v="2"/>
    <n v="440.18999999999988"/>
  </r>
  <r>
    <x v="86"/>
    <x v="83"/>
    <x v="86"/>
    <x v="4"/>
    <x v="0"/>
    <n v="643.03"/>
    <x v="80"/>
    <x v="1"/>
    <x v="1"/>
    <x v="86"/>
    <n v="5"/>
    <x v="1"/>
    <x v="1"/>
    <n v="3215.15"/>
  </r>
  <r>
    <x v="87"/>
    <x v="84"/>
    <x v="87"/>
    <x v="2"/>
    <x v="4"/>
    <n v="225.11"/>
    <x v="81"/>
    <x v="4"/>
    <x v="0"/>
    <x v="87"/>
    <n v="4"/>
    <x v="0"/>
    <x v="3"/>
    <n v="675.33"/>
  </r>
  <r>
    <x v="88"/>
    <x v="85"/>
    <x v="88"/>
    <x v="6"/>
    <x v="4"/>
    <n v="114.81"/>
    <x v="82"/>
    <x v="3"/>
    <x v="1"/>
    <x v="88"/>
    <n v="7"/>
    <x v="2"/>
    <x v="4"/>
    <n v="344.43"/>
  </r>
  <r>
    <x v="89"/>
    <x v="86"/>
    <x v="89"/>
    <x v="4"/>
    <x v="0"/>
    <n v="455.33"/>
    <x v="83"/>
    <x v="2"/>
    <x v="1"/>
    <x v="89"/>
    <n v="8"/>
    <x v="1"/>
    <x v="4"/>
    <n v="2276.65"/>
  </r>
  <r>
    <x v="90"/>
    <x v="87"/>
    <x v="90"/>
    <x v="3"/>
    <x v="3"/>
    <n v="182.08"/>
    <x v="84"/>
    <x v="3"/>
    <x v="3"/>
    <x v="90"/>
    <n v="4"/>
    <x v="0"/>
    <x v="2"/>
    <n v="728.32"/>
  </r>
  <r>
    <x v="91"/>
    <x v="88"/>
    <x v="91"/>
    <x v="5"/>
    <x v="0"/>
    <n v="492.75"/>
    <x v="85"/>
    <x v="4"/>
    <x v="0"/>
    <x v="91"/>
    <n v="6"/>
    <x v="3"/>
    <x v="1"/>
    <n v="2463.75"/>
  </r>
  <r>
    <x v="92"/>
    <x v="89"/>
    <x v="92"/>
    <x v="4"/>
    <x v="3"/>
    <n v="48.61"/>
    <x v="86"/>
    <x v="1"/>
    <x v="0"/>
    <x v="92"/>
    <n v="7"/>
    <x v="1"/>
    <x v="3"/>
    <n v="194.44"/>
  </r>
  <r>
    <x v="93"/>
    <x v="90"/>
    <x v="93"/>
    <x v="6"/>
    <x v="3"/>
    <n v="431.01"/>
    <x v="87"/>
    <x v="2"/>
    <x v="2"/>
    <x v="93"/>
    <n v="7"/>
    <x v="2"/>
    <x v="1"/>
    <n v="1724.04"/>
  </r>
  <r>
    <x v="94"/>
    <x v="91"/>
    <x v="94"/>
    <x v="3"/>
    <x v="2"/>
    <n v="531.17999999999995"/>
    <x v="88"/>
    <x v="3"/>
    <x v="2"/>
    <x v="94"/>
    <n v="6"/>
    <x v="3"/>
    <x v="0"/>
    <n v="531.17999999999995"/>
  </r>
  <r>
    <x v="95"/>
    <x v="92"/>
    <x v="95"/>
    <x v="4"/>
    <x v="3"/>
    <n v="117.51"/>
    <x v="89"/>
    <x v="0"/>
    <x v="2"/>
    <x v="95"/>
    <n v="7"/>
    <x v="2"/>
    <x v="1"/>
    <n v="470.04"/>
  </r>
  <r>
    <x v="96"/>
    <x v="93"/>
    <x v="96"/>
    <x v="1"/>
    <x v="1"/>
    <n v="232.83"/>
    <x v="73"/>
    <x v="3"/>
    <x v="3"/>
    <x v="96"/>
    <n v="7"/>
    <x v="2"/>
    <x v="0"/>
    <n v="465.66"/>
  </r>
  <r>
    <x v="97"/>
    <x v="94"/>
    <x v="97"/>
    <x v="2"/>
    <x v="0"/>
    <n v="619.52"/>
    <x v="90"/>
    <x v="0"/>
    <x v="4"/>
    <x v="97"/>
    <n v="9"/>
    <x v="2"/>
    <x v="2"/>
    <n v="3097.6"/>
  </r>
  <r>
    <x v="98"/>
    <x v="90"/>
    <x v="98"/>
    <x v="4"/>
    <x v="1"/>
    <n v="228.54"/>
    <x v="91"/>
    <x v="0"/>
    <x v="4"/>
    <x v="98"/>
    <n v="3"/>
    <x v="2"/>
    <x v="2"/>
    <n v="457.08"/>
  </r>
  <r>
    <x v="99"/>
    <x v="95"/>
    <x v="99"/>
    <x v="4"/>
    <x v="2"/>
    <n v="201.58"/>
    <x v="92"/>
    <x v="0"/>
    <x v="1"/>
    <x v="99"/>
    <n v="2"/>
    <x v="3"/>
    <x v="2"/>
    <n v="201.58"/>
  </r>
  <r>
    <x v="100"/>
    <x v="96"/>
    <x v="100"/>
    <x v="1"/>
    <x v="4"/>
    <n v="664.79"/>
    <x v="93"/>
    <x v="1"/>
    <x v="3"/>
    <x v="100"/>
    <n v="6"/>
    <x v="2"/>
    <x v="3"/>
    <n v="1994.37"/>
  </r>
  <r>
    <x v="101"/>
    <x v="97"/>
    <x v="101"/>
    <x v="4"/>
    <x v="2"/>
    <n v="381.02"/>
    <x v="94"/>
    <x v="4"/>
    <x v="0"/>
    <x v="101"/>
    <n v="6"/>
    <x v="2"/>
    <x v="4"/>
    <n v="381.02"/>
  </r>
  <r>
    <x v="102"/>
    <x v="98"/>
    <x v="102"/>
    <x v="5"/>
    <x v="1"/>
    <n v="70.34"/>
    <x v="95"/>
    <x v="3"/>
    <x v="1"/>
    <x v="102"/>
    <n v="3"/>
    <x v="1"/>
    <x v="2"/>
    <n v="140.68"/>
  </r>
  <r>
    <x v="103"/>
    <x v="99"/>
    <x v="103"/>
    <x v="1"/>
    <x v="3"/>
    <n v="218.43"/>
    <x v="96"/>
    <x v="2"/>
    <x v="1"/>
    <x v="103"/>
    <n v="9"/>
    <x v="0"/>
    <x v="2"/>
    <n v="873.72"/>
  </r>
  <r>
    <x v="104"/>
    <x v="100"/>
    <x v="104"/>
    <x v="1"/>
    <x v="2"/>
    <n v="582.04"/>
    <x v="97"/>
    <x v="3"/>
    <x v="3"/>
    <x v="104"/>
    <n v="1"/>
    <x v="1"/>
    <x v="2"/>
    <n v="582.04"/>
  </r>
  <r>
    <x v="105"/>
    <x v="101"/>
    <x v="105"/>
    <x v="4"/>
    <x v="4"/>
    <n v="185.4"/>
    <x v="98"/>
    <x v="3"/>
    <x v="1"/>
    <x v="105"/>
    <n v="7"/>
    <x v="2"/>
    <x v="3"/>
    <n v="556.20000000000005"/>
  </r>
  <r>
    <x v="106"/>
    <x v="102"/>
    <x v="106"/>
    <x v="6"/>
    <x v="4"/>
    <n v="465.05"/>
    <x v="99"/>
    <x v="2"/>
    <x v="1"/>
    <x v="106"/>
    <n v="3"/>
    <x v="0"/>
    <x v="2"/>
    <n v="1395.15"/>
  </r>
  <r>
    <x v="107"/>
    <x v="14"/>
    <x v="107"/>
    <x v="4"/>
    <x v="0"/>
    <n v="670.75"/>
    <x v="100"/>
    <x v="3"/>
    <x v="0"/>
    <x v="107"/>
    <n v="8"/>
    <x v="1"/>
    <x v="0"/>
    <n v="3353.75"/>
  </r>
  <r>
    <x v="108"/>
    <x v="103"/>
    <x v="108"/>
    <x v="5"/>
    <x v="0"/>
    <n v="48.38"/>
    <x v="101"/>
    <x v="3"/>
    <x v="3"/>
    <x v="108"/>
    <n v="9"/>
    <x v="3"/>
    <x v="2"/>
    <n v="241.9"/>
  </r>
  <r>
    <x v="109"/>
    <x v="104"/>
    <x v="109"/>
    <x v="6"/>
    <x v="4"/>
    <n v="592.87"/>
    <x v="102"/>
    <x v="3"/>
    <x v="0"/>
    <x v="109"/>
    <n v="3"/>
    <x v="1"/>
    <x v="1"/>
    <n v="1778.61"/>
  </r>
  <r>
    <x v="110"/>
    <x v="105"/>
    <x v="110"/>
    <x v="2"/>
    <x v="2"/>
    <n v="220.77"/>
    <x v="103"/>
    <x v="3"/>
    <x v="4"/>
    <x v="110"/>
    <n v="5"/>
    <x v="1"/>
    <x v="0"/>
    <n v="220.77"/>
  </r>
  <r>
    <x v="111"/>
    <x v="106"/>
    <x v="111"/>
    <x v="6"/>
    <x v="4"/>
    <n v="309.22000000000003"/>
    <x v="104"/>
    <x v="1"/>
    <x v="1"/>
    <x v="111"/>
    <n v="7"/>
    <x v="1"/>
    <x v="4"/>
    <n v="927.66000000000008"/>
  </r>
  <r>
    <x v="112"/>
    <x v="107"/>
    <x v="112"/>
    <x v="0"/>
    <x v="2"/>
    <n v="410.6"/>
    <x v="105"/>
    <x v="1"/>
    <x v="1"/>
    <x v="112"/>
    <n v="2"/>
    <x v="3"/>
    <x v="1"/>
    <n v="410.6"/>
  </r>
  <r>
    <x v="113"/>
    <x v="108"/>
    <x v="113"/>
    <x v="5"/>
    <x v="0"/>
    <n v="190.08"/>
    <x v="106"/>
    <x v="4"/>
    <x v="0"/>
    <x v="113"/>
    <n v="9"/>
    <x v="1"/>
    <x v="0"/>
    <n v="950.40000000000009"/>
  </r>
  <r>
    <x v="114"/>
    <x v="109"/>
    <x v="114"/>
    <x v="0"/>
    <x v="0"/>
    <n v="498.48"/>
    <x v="107"/>
    <x v="1"/>
    <x v="4"/>
    <x v="114"/>
    <n v="8"/>
    <x v="0"/>
    <x v="4"/>
    <n v="2492.4"/>
  </r>
  <r>
    <x v="115"/>
    <x v="110"/>
    <x v="115"/>
    <x v="1"/>
    <x v="0"/>
    <n v="374.99"/>
    <x v="108"/>
    <x v="1"/>
    <x v="0"/>
    <x v="115"/>
    <n v="9"/>
    <x v="0"/>
    <x v="3"/>
    <n v="1874.95"/>
  </r>
  <r>
    <x v="116"/>
    <x v="111"/>
    <x v="116"/>
    <x v="4"/>
    <x v="3"/>
    <n v="291.35000000000002"/>
    <x v="109"/>
    <x v="2"/>
    <x v="1"/>
    <x v="116"/>
    <n v="6"/>
    <x v="3"/>
    <x v="3"/>
    <n v="1165.4000000000001"/>
  </r>
  <r>
    <x v="117"/>
    <x v="98"/>
    <x v="117"/>
    <x v="2"/>
    <x v="2"/>
    <n v="535.5"/>
    <x v="110"/>
    <x v="3"/>
    <x v="1"/>
    <x v="117"/>
    <n v="5"/>
    <x v="3"/>
    <x v="1"/>
    <n v="535.5"/>
  </r>
  <r>
    <x v="118"/>
    <x v="112"/>
    <x v="118"/>
    <x v="4"/>
    <x v="0"/>
    <n v="502.71"/>
    <x v="111"/>
    <x v="3"/>
    <x v="0"/>
    <x v="118"/>
    <n v="7"/>
    <x v="1"/>
    <x v="4"/>
    <n v="2513.5500000000002"/>
  </r>
  <r>
    <x v="119"/>
    <x v="113"/>
    <x v="119"/>
    <x v="6"/>
    <x v="1"/>
    <n v="534.66999999999996"/>
    <x v="112"/>
    <x v="0"/>
    <x v="0"/>
    <x v="119"/>
    <n v="7"/>
    <x v="1"/>
    <x v="1"/>
    <n v="1069.3399999999999"/>
  </r>
  <r>
    <x v="120"/>
    <x v="114"/>
    <x v="120"/>
    <x v="2"/>
    <x v="3"/>
    <n v="629.34"/>
    <x v="6"/>
    <x v="4"/>
    <x v="1"/>
    <x v="120"/>
    <n v="4"/>
    <x v="3"/>
    <x v="0"/>
    <n v="2517.36"/>
  </r>
  <r>
    <x v="121"/>
    <x v="115"/>
    <x v="121"/>
    <x v="6"/>
    <x v="2"/>
    <n v="410.78"/>
    <x v="113"/>
    <x v="4"/>
    <x v="1"/>
    <x v="121"/>
    <n v="1"/>
    <x v="1"/>
    <x v="0"/>
    <n v="410.78"/>
  </r>
  <r>
    <x v="122"/>
    <x v="116"/>
    <x v="122"/>
    <x v="5"/>
    <x v="1"/>
    <n v="533.02"/>
    <x v="114"/>
    <x v="3"/>
    <x v="0"/>
    <x v="122"/>
    <n v="2"/>
    <x v="2"/>
    <x v="3"/>
    <n v="1066.04"/>
  </r>
  <r>
    <x v="123"/>
    <x v="117"/>
    <x v="123"/>
    <x v="6"/>
    <x v="4"/>
    <n v="278.04000000000002"/>
    <x v="115"/>
    <x v="1"/>
    <x v="3"/>
    <x v="123"/>
    <n v="5"/>
    <x v="2"/>
    <x v="0"/>
    <n v="834.12000000000012"/>
  </r>
  <r>
    <x v="124"/>
    <x v="118"/>
    <x v="124"/>
    <x v="4"/>
    <x v="3"/>
    <n v="283.79000000000002"/>
    <x v="116"/>
    <x v="1"/>
    <x v="4"/>
    <x v="124"/>
    <n v="8"/>
    <x v="2"/>
    <x v="4"/>
    <n v="1135.1600000000001"/>
  </r>
  <r>
    <x v="125"/>
    <x v="119"/>
    <x v="125"/>
    <x v="1"/>
    <x v="1"/>
    <n v="512.65"/>
    <x v="117"/>
    <x v="2"/>
    <x v="0"/>
    <x v="125"/>
    <n v="5"/>
    <x v="0"/>
    <x v="2"/>
    <n v="1025.3"/>
  </r>
  <r>
    <x v="126"/>
    <x v="120"/>
    <x v="126"/>
    <x v="6"/>
    <x v="3"/>
    <n v="275.5"/>
    <x v="118"/>
    <x v="3"/>
    <x v="0"/>
    <x v="126"/>
    <n v="8"/>
    <x v="1"/>
    <x v="4"/>
    <n v="1102"/>
  </r>
  <r>
    <x v="127"/>
    <x v="121"/>
    <x v="127"/>
    <x v="6"/>
    <x v="4"/>
    <n v="469.32"/>
    <x v="119"/>
    <x v="0"/>
    <x v="0"/>
    <x v="127"/>
    <n v="3"/>
    <x v="2"/>
    <x v="4"/>
    <n v="1407.96"/>
  </r>
  <r>
    <x v="128"/>
    <x v="96"/>
    <x v="128"/>
    <x v="2"/>
    <x v="3"/>
    <n v="21.07"/>
    <x v="120"/>
    <x v="3"/>
    <x v="3"/>
    <x v="128"/>
    <n v="4"/>
    <x v="1"/>
    <x v="4"/>
    <n v="84.28"/>
  </r>
  <r>
    <x v="129"/>
    <x v="122"/>
    <x v="129"/>
    <x v="5"/>
    <x v="3"/>
    <n v="263.93"/>
    <x v="121"/>
    <x v="0"/>
    <x v="0"/>
    <x v="129"/>
    <n v="4"/>
    <x v="1"/>
    <x v="3"/>
    <n v="1055.72"/>
  </r>
  <r>
    <x v="130"/>
    <x v="123"/>
    <x v="130"/>
    <x v="6"/>
    <x v="4"/>
    <n v="501.3"/>
    <x v="122"/>
    <x v="1"/>
    <x v="1"/>
    <x v="130"/>
    <n v="3"/>
    <x v="3"/>
    <x v="3"/>
    <n v="1503.9"/>
  </r>
  <r>
    <x v="131"/>
    <x v="124"/>
    <x v="131"/>
    <x v="2"/>
    <x v="2"/>
    <n v="84.8"/>
    <x v="123"/>
    <x v="3"/>
    <x v="4"/>
    <x v="131"/>
    <n v="5"/>
    <x v="2"/>
    <x v="0"/>
    <n v="84.8"/>
  </r>
  <r>
    <x v="132"/>
    <x v="125"/>
    <x v="132"/>
    <x v="2"/>
    <x v="3"/>
    <n v="450.75"/>
    <x v="124"/>
    <x v="2"/>
    <x v="0"/>
    <x v="132"/>
    <n v="6"/>
    <x v="3"/>
    <x v="2"/>
    <n v="1803"/>
  </r>
  <r>
    <x v="133"/>
    <x v="126"/>
    <x v="133"/>
    <x v="3"/>
    <x v="3"/>
    <n v="302.05"/>
    <x v="125"/>
    <x v="0"/>
    <x v="1"/>
    <x v="133"/>
    <n v="6"/>
    <x v="0"/>
    <x v="4"/>
    <n v="1208.2"/>
  </r>
  <r>
    <x v="134"/>
    <x v="127"/>
    <x v="134"/>
    <x v="5"/>
    <x v="1"/>
    <n v="199.7"/>
    <x v="124"/>
    <x v="4"/>
    <x v="4"/>
    <x v="134"/>
    <n v="4"/>
    <x v="2"/>
    <x v="2"/>
    <n v="399.4"/>
  </r>
  <r>
    <x v="135"/>
    <x v="128"/>
    <x v="135"/>
    <x v="4"/>
    <x v="1"/>
    <n v="68.81"/>
    <x v="126"/>
    <x v="3"/>
    <x v="0"/>
    <x v="135"/>
    <n v="5"/>
    <x v="0"/>
    <x v="1"/>
    <n v="137.62"/>
  </r>
  <r>
    <x v="136"/>
    <x v="129"/>
    <x v="136"/>
    <x v="5"/>
    <x v="2"/>
    <n v="44.35"/>
    <x v="127"/>
    <x v="3"/>
    <x v="1"/>
    <x v="136"/>
    <n v="1"/>
    <x v="0"/>
    <x v="0"/>
    <n v="44.35"/>
  </r>
  <r>
    <x v="137"/>
    <x v="130"/>
    <x v="137"/>
    <x v="0"/>
    <x v="1"/>
    <n v="250.98"/>
    <x v="128"/>
    <x v="2"/>
    <x v="3"/>
    <x v="137"/>
    <n v="5"/>
    <x v="2"/>
    <x v="4"/>
    <n v="501.96"/>
  </r>
  <r>
    <x v="138"/>
    <x v="131"/>
    <x v="138"/>
    <x v="2"/>
    <x v="2"/>
    <n v="298.06"/>
    <x v="129"/>
    <x v="0"/>
    <x v="4"/>
    <x v="138"/>
    <n v="3"/>
    <x v="3"/>
    <x v="4"/>
    <n v="298.06"/>
  </r>
  <r>
    <x v="139"/>
    <x v="132"/>
    <x v="139"/>
    <x v="1"/>
    <x v="2"/>
    <n v="583.9"/>
    <x v="130"/>
    <x v="4"/>
    <x v="2"/>
    <x v="139"/>
    <n v="1"/>
    <x v="2"/>
    <x v="2"/>
    <n v="583.9"/>
  </r>
  <r>
    <x v="140"/>
    <x v="133"/>
    <x v="140"/>
    <x v="3"/>
    <x v="4"/>
    <n v="528.14"/>
    <x v="103"/>
    <x v="1"/>
    <x v="3"/>
    <x v="140"/>
    <n v="3"/>
    <x v="1"/>
    <x v="2"/>
    <n v="1584.42"/>
  </r>
  <r>
    <x v="141"/>
    <x v="134"/>
    <x v="141"/>
    <x v="4"/>
    <x v="4"/>
    <n v="684.14"/>
    <x v="131"/>
    <x v="4"/>
    <x v="1"/>
    <x v="141"/>
    <n v="3"/>
    <x v="3"/>
    <x v="0"/>
    <n v="2052.42"/>
  </r>
  <r>
    <x v="142"/>
    <x v="135"/>
    <x v="142"/>
    <x v="6"/>
    <x v="0"/>
    <n v="272.77"/>
    <x v="132"/>
    <x v="4"/>
    <x v="4"/>
    <x v="142"/>
    <n v="7"/>
    <x v="3"/>
    <x v="2"/>
    <n v="1363.85"/>
  </r>
  <r>
    <x v="143"/>
    <x v="136"/>
    <x v="143"/>
    <x v="3"/>
    <x v="3"/>
    <n v="400.07"/>
    <x v="133"/>
    <x v="1"/>
    <x v="0"/>
    <x v="143"/>
    <n v="5"/>
    <x v="2"/>
    <x v="1"/>
    <n v="1600.28"/>
  </r>
  <r>
    <x v="144"/>
    <x v="128"/>
    <x v="144"/>
    <x v="6"/>
    <x v="0"/>
    <n v="219.78"/>
    <x v="30"/>
    <x v="2"/>
    <x v="4"/>
    <x v="144"/>
    <n v="8"/>
    <x v="2"/>
    <x v="3"/>
    <n v="1098.9000000000001"/>
  </r>
  <r>
    <x v="145"/>
    <x v="17"/>
    <x v="145"/>
    <x v="4"/>
    <x v="4"/>
    <n v="146.91"/>
    <x v="134"/>
    <x v="2"/>
    <x v="3"/>
    <x v="145"/>
    <n v="6"/>
    <x v="1"/>
    <x v="4"/>
    <n v="440.73"/>
  </r>
  <r>
    <x v="146"/>
    <x v="137"/>
    <x v="146"/>
    <x v="2"/>
    <x v="1"/>
    <n v="411.49"/>
    <x v="135"/>
    <x v="2"/>
    <x v="2"/>
    <x v="146"/>
    <n v="4"/>
    <x v="2"/>
    <x v="0"/>
    <n v="822.98"/>
  </r>
  <r>
    <x v="147"/>
    <x v="138"/>
    <x v="147"/>
    <x v="5"/>
    <x v="1"/>
    <n v="465.18"/>
    <x v="136"/>
    <x v="2"/>
    <x v="1"/>
    <x v="147"/>
    <n v="2"/>
    <x v="0"/>
    <x v="4"/>
    <n v="930.36"/>
  </r>
  <r>
    <x v="148"/>
    <x v="139"/>
    <x v="148"/>
    <x v="1"/>
    <x v="1"/>
    <n v="319.91000000000003"/>
    <x v="137"/>
    <x v="2"/>
    <x v="1"/>
    <x v="148"/>
    <n v="3"/>
    <x v="3"/>
    <x v="4"/>
    <n v="639.82000000000005"/>
  </r>
  <r>
    <x v="149"/>
    <x v="140"/>
    <x v="149"/>
    <x v="5"/>
    <x v="2"/>
    <n v="217.56"/>
    <x v="138"/>
    <x v="0"/>
    <x v="3"/>
    <x v="149"/>
    <n v="3"/>
    <x v="2"/>
    <x v="3"/>
    <n v="217.56"/>
  </r>
  <r>
    <x v="150"/>
    <x v="141"/>
    <x v="150"/>
    <x v="1"/>
    <x v="1"/>
    <n v="105.57"/>
    <x v="139"/>
    <x v="0"/>
    <x v="2"/>
    <x v="150"/>
    <n v="5"/>
    <x v="3"/>
    <x v="4"/>
    <n v="211.14"/>
  </r>
  <r>
    <x v="151"/>
    <x v="142"/>
    <x v="151"/>
    <x v="4"/>
    <x v="0"/>
    <n v="444.76"/>
    <x v="140"/>
    <x v="0"/>
    <x v="2"/>
    <x v="151"/>
    <n v="7"/>
    <x v="2"/>
    <x v="2"/>
    <n v="2223.8000000000002"/>
  </r>
  <r>
    <x v="152"/>
    <x v="143"/>
    <x v="152"/>
    <x v="3"/>
    <x v="1"/>
    <n v="399.04"/>
    <x v="141"/>
    <x v="4"/>
    <x v="1"/>
    <x v="152"/>
    <n v="3"/>
    <x v="1"/>
    <x v="1"/>
    <n v="798.08"/>
  </r>
  <r>
    <x v="153"/>
    <x v="144"/>
    <x v="153"/>
    <x v="3"/>
    <x v="3"/>
    <n v="534.48"/>
    <x v="142"/>
    <x v="1"/>
    <x v="2"/>
    <x v="153"/>
    <n v="9"/>
    <x v="3"/>
    <x v="0"/>
    <n v="2137.92"/>
  </r>
  <r>
    <x v="154"/>
    <x v="145"/>
    <x v="154"/>
    <x v="1"/>
    <x v="3"/>
    <n v="408.21"/>
    <x v="115"/>
    <x v="2"/>
    <x v="4"/>
    <x v="154"/>
    <n v="9"/>
    <x v="2"/>
    <x v="0"/>
    <n v="1632.84"/>
  </r>
  <r>
    <x v="155"/>
    <x v="146"/>
    <x v="155"/>
    <x v="1"/>
    <x v="2"/>
    <n v="424.4"/>
    <x v="47"/>
    <x v="1"/>
    <x v="0"/>
    <x v="155"/>
    <n v="6"/>
    <x v="3"/>
    <x v="1"/>
    <n v="424.4"/>
  </r>
  <r>
    <x v="156"/>
    <x v="147"/>
    <x v="156"/>
    <x v="3"/>
    <x v="1"/>
    <n v="269.83"/>
    <x v="143"/>
    <x v="1"/>
    <x v="3"/>
    <x v="156"/>
    <n v="4"/>
    <x v="0"/>
    <x v="2"/>
    <n v="539.66"/>
  </r>
  <r>
    <x v="157"/>
    <x v="148"/>
    <x v="157"/>
    <x v="0"/>
    <x v="1"/>
    <n v="564.58000000000004"/>
    <x v="125"/>
    <x v="1"/>
    <x v="2"/>
    <x v="157"/>
    <n v="4"/>
    <x v="3"/>
    <x v="3"/>
    <n v="1129.1600000000001"/>
  </r>
  <r>
    <x v="158"/>
    <x v="149"/>
    <x v="158"/>
    <x v="2"/>
    <x v="2"/>
    <n v="331.06"/>
    <x v="144"/>
    <x v="2"/>
    <x v="4"/>
    <x v="158"/>
    <n v="5"/>
    <x v="3"/>
    <x v="0"/>
    <n v="331.06"/>
  </r>
  <r>
    <x v="159"/>
    <x v="150"/>
    <x v="159"/>
    <x v="4"/>
    <x v="2"/>
    <n v="299.35000000000002"/>
    <x v="145"/>
    <x v="2"/>
    <x v="1"/>
    <x v="159"/>
    <n v="5"/>
    <x v="3"/>
    <x v="2"/>
    <n v="299.35000000000002"/>
  </r>
  <r>
    <x v="160"/>
    <x v="96"/>
    <x v="160"/>
    <x v="0"/>
    <x v="3"/>
    <n v="101.32"/>
    <x v="146"/>
    <x v="4"/>
    <x v="4"/>
    <x v="160"/>
    <n v="7"/>
    <x v="2"/>
    <x v="1"/>
    <n v="405.28"/>
  </r>
  <r>
    <x v="161"/>
    <x v="151"/>
    <x v="161"/>
    <x v="0"/>
    <x v="2"/>
    <n v="211.14"/>
    <x v="122"/>
    <x v="2"/>
    <x v="1"/>
    <x v="161"/>
    <n v="1"/>
    <x v="0"/>
    <x v="3"/>
    <n v="211.14"/>
  </r>
  <r>
    <x v="162"/>
    <x v="152"/>
    <x v="162"/>
    <x v="3"/>
    <x v="4"/>
    <n v="65.86"/>
    <x v="69"/>
    <x v="1"/>
    <x v="4"/>
    <x v="162"/>
    <n v="8"/>
    <x v="3"/>
    <x v="4"/>
    <n v="197.58"/>
  </r>
  <r>
    <x v="163"/>
    <x v="53"/>
    <x v="163"/>
    <x v="2"/>
    <x v="2"/>
    <n v="641.39"/>
    <x v="147"/>
    <x v="1"/>
    <x v="1"/>
    <x v="163"/>
    <n v="1"/>
    <x v="2"/>
    <x v="1"/>
    <n v="641.39"/>
  </r>
  <r>
    <x v="164"/>
    <x v="153"/>
    <x v="164"/>
    <x v="6"/>
    <x v="0"/>
    <n v="536.58000000000004"/>
    <x v="148"/>
    <x v="3"/>
    <x v="4"/>
    <x v="164"/>
    <n v="5"/>
    <x v="0"/>
    <x v="4"/>
    <n v="2682.9"/>
  </r>
  <r>
    <x v="165"/>
    <x v="154"/>
    <x v="165"/>
    <x v="0"/>
    <x v="1"/>
    <n v="500.29"/>
    <x v="149"/>
    <x v="1"/>
    <x v="2"/>
    <x v="165"/>
    <n v="7"/>
    <x v="3"/>
    <x v="4"/>
    <n v="1000.58"/>
  </r>
  <r>
    <x v="166"/>
    <x v="155"/>
    <x v="166"/>
    <x v="3"/>
    <x v="4"/>
    <n v="86.29"/>
    <x v="51"/>
    <x v="4"/>
    <x v="3"/>
    <x v="166"/>
    <n v="6"/>
    <x v="3"/>
    <x v="0"/>
    <n v="258.87"/>
  </r>
  <r>
    <x v="167"/>
    <x v="156"/>
    <x v="167"/>
    <x v="3"/>
    <x v="1"/>
    <n v="384.14"/>
    <x v="150"/>
    <x v="1"/>
    <x v="2"/>
    <x v="167"/>
    <n v="2"/>
    <x v="3"/>
    <x v="2"/>
    <n v="768.28"/>
  </r>
  <r>
    <x v="168"/>
    <x v="157"/>
    <x v="168"/>
    <x v="4"/>
    <x v="2"/>
    <n v="594.96"/>
    <x v="151"/>
    <x v="4"/>
    <x v="2"/>
    <x v="168"/>
    <n v="6"/>
    <x v="2"/>
    <x v="3"/>
    <n v="594.96"/>
  </r>
  <r>
    <x v="169"/>
    <x v="158"/>
    <x v="169"/>
    <x v="4"/>
    <x v="2"/>
    <n v="427.82"/>
    <x v="152"/>
    <x v="1"/>
    <x v="3"/>
    <x v="169"/>
    <n v="2"/>
    <x v="3"/>
    <x v="2"/>
    <n v="427.82"/>
  </r>
  <r>
    <x v="170"/>
    <x v="159"/>
    <x v="170"/>
    <x v="6"/>
    <x v="3"/>
    <n v="662.94"/>
    <x v="153"/>
    <x v="4"/>
    <x v="1"/>
    <x v="170"/>
    <n v="8"/>
    <x v="0"/>
    <x v="0"/>
    <n v="2651.76"/>
  </r>
  <r>
    <x v="171"/>
    <x v="160"/>
    <x v="171"/>
    <x v="2"/>
    <x v="1"/>
    <n v="148.22"/>
    <x v="154"/>
    <x v="2"/>
    <x v="3"/>
    <x v="171"/>
    <n v="7"/>
    <x v="3"/>
    <x v="0"/>
    <n v="296.44"/>
  </r>
  <r>
    <x v="172"/>
    <x v="161"/>
    <x v="172"/>
    <x v="4"/>
    <x v="2"/>
    <n v="254.12"/>
    <x v="119"/>
    <x v="1"/>
    <x v="3"/>
    <x v="172"/>
    <n v="1"/>
    <x v="3"/>
    <x v="2"/>
    <n v="254.12"/>
  </r>
  <r>
    <x v="173"/>
    <x v="59"/>
    <x v="173"/>
    <x v="1"/>
    <x v="4"/>
    <n v="664.46"/>
    <x v="155"/>
    <x v="1"/>
    <x v="3"/>
    <x v="173"/>
    <n v="4"/>
    <x v="1"/>
    <x v="4"/>
    <n v="1993.38"/>
  </r>
  <r>
    <x v="174"/>
    <x v="162"/>
    <x v="174"/>
    <x v="4"/>
    <x v="3"/>
    <n v="600.80999999999995"/>
    <x v="156"/>
    <x v="0"/>
    <x v="3"/>
    <x v="174"/>
    <n v="9"/>
    <x v="0"/>
    <x v="2"/>
    <n v="2403.2399999999998"/>
  </r>
  <r>
    <x v="175"/>
    <x v="163"/>
    <x v="175"/>
    <x v="3"/>
    <x v="0"/>
    <n v="68.34"/>
    <x v="157"/>
    <x v="0"/>
    <x v="4"/>
    <x v="175"/>
    <n v="6"/>
    <x v="3"/>
    <x v="1"/>
    <n v="341.7"/>
  </r>
  <r>
    <x v="176"/>
    <x v="164"/>
    <x v="176"/>
    <x v="2"/>
    <x v="3"/>
    <n v="430.83"/>
    <x v="158"/>
    <x v="3"/>
    <x v="4"/>
    <x v="176"/>
    <n v="8"/>
    <x v="3"/>
    <x v="1"/>
    <n v="1723.32"/>
  </r>
  <r>
    <x v="177"/>
    <x v="165"/>
    <x v="177"/>
    <x v="3"/>
    <x v="0"/>
    <n v="431.69"/>
    <x v="159"/>
    <x v="2"/>
    <x v="4"/>
    <x v="177"/>
    <n v="10"/>
    <x v="2"/>
    <x v="3"/>
    <n v="2158.4499999999998"/>
  </r>
  <r>
    <x v="178"/>
    <x v="166"/>
    <x v="178"/>
    <x v="3"/>
    <x v="3"/>
    <n v="512.05999999999995"/>
    <x v="160"/>
    <x v="1"/>
    <x v="3"/>
    <x v="178"/>
    <n v="5"/>
    <x v="0"/>
    <x v="4"/>
    <n v="2048.2399999999998"/>
  </r>
  <r>
    <x v="179"/>
    <x v="167"/>
    <x v="179"/>
    <x v="5"/>
    <x v="4"/>
    <n v="539.91"/>
    <x v="161"/>
    <x v="2"/>
    <x v="3"/>
    <x v="179"/>
    <n v="8"/>
    <x v="2"/>
    <x v="2"/>
    <n v="1619.73"/>
  </r>
  <r>
    <x v="180"/>
    <x v="168"/>
    <x v="180"/>
    <x v="2"/>
    <x v="0"/>
    <n v="316.07"/>
    <x v="162"/>
    <x v="4"/>
    <x v="2"/>
    <x v="180"/>
    <n v="10"/>
    <x v="2"/>
    <x v="4"/>
    <n v="1580.35"/>
  </r>
  <r>
    <x v="181"/>
    <x v="169"/>
    <x v="181"/>
    <x v="4"/>
    <x v="0"/>
    <n v="404.39"/>
    <x v="163"/>
    <x v="1"/>
    <x v="0"/>
    <x v="181"/>
    <n v="10"/>
    <x v="2"/>
    <x v="1"/>
    <n v="2021.95"/>
  </r>
  <r>
    <x v="182"/>
    <x v="170"/>
    <x v="182"/>
    <x v="6"/>
    <x v="2"/>
    <n v="600.54"/>
    <x v="164"/>
    <x v="0"/>
    <x v="4"/>
    <x v="182"/>
    <n v="4"/>
    <x v="3"/>
    <x v="4"/>
    <n v="600.54"/>
  </r>
  <r>
    <x v="183"/>
    <x v="171"/>
    <x v="183"/>
    <x v="0"/>
    <x v="0"/>
    <n v="186.28"/>
    <x v="165"/>
    <x v="0"/>
    <x v="3"/>
    <x v="183"/>
    <n v="8"/>
    <x v="0"/>
    <x v="2"/>
    <n v="931.4"/>
  </r>
  <r>
    <x v="184"/>
    <x v="172"/>
    <x v="184"/>
    <x v="2"/>
    <x v="3"/>
    <n v="214.54"/>
    <x v="166"/>
    <x v="3"/>
    <x v="1"/>
    <x v="184"/>
    <n v="7"/>
    <x v="2"/>
    <x v="1"/>
    <n v="858.16"/>
  </r>
  <r>
    <x v="185"/>
    <x v="61"/>
    <x v="185"/>
    <x v="5"/>
    <x v="2"/>
    <n v="210.7"/>
    <x v="167"/>
    <x v="1"/>
    <x v="0"/>
    <x v="185"/>
    <n v="2"/>
    <x v="3"/>
    <x v="1"/>
    <n v="210.7"/>
  </r>
  <r>
    <x v="186"/>
    <x v="173"/>
    <x v="186"/>
    <x v="1"/>
    <x v="1"/>
    <n v="133.55000000000001"/>
    <x v="168"/>
    <x v="4"/>
    <x v="4"/>
    <x v="186"/>
    <n v="7"/>
    <x v="1"/>
    <x v="3"/>
    <n v="267.10000000000002"/>
  </r>
  <r>
    <x v="187"/>
    <x v="174"/>
    <x v="187"/>
    <x v="3"/>
    <x v="2"/>
    <n v="590.87"/>
    <x v="169"/>
    <x v="3"/>
    <x v="2"/>
    <x v="187"/>
    <n v="6"/>
    <x v="1"/>
    <x v="1"/>
    <n v="590.87"/>
  </r>
  <r>
    <x v="188"/>
    <x v="175"/>
    <x v="188"/>
    <x v="3"/>
    <x v="1"/>
    <n v="363.91"/>
    <x v="170"/>
    <x v="3"/>
    <x v="0"/>
    <x v="188"/>
    <n v="2"/>
    <x v="1"/>
    <x v="1"/>
    <n v="727.82"/>
  </r>
  <r>
    <x v="189"/>
    <x v="176"/>
    <x v="189"/>
    <x v="4"/>
    <x v="0"/>
    <n v="429.45"/>
    <x v="171"/>
    <x v="3"/>
    <x v="1"/>
    <x v="189"/>
    <n v="5"/>
    <x v="3"/>
    <x v="2"/>
    <n v="2147.25"/>
  </r>
  <r>
    <x v="190"/>
    <x v="169"/>
    <x v="190"/>
    <x v="4"/>
    <x v="4"/>
    <n v="223.7"/>
    <x v="172"/>
    <x v="4"/>
    <x v="2"/>
    <x v="190"/>
    <n v="3"/>
    <x v="0"/>
    <x v="2"/>
    <n v="671.09999999999991"/>
  </r>
  <r>
    <x v="191"/>
    <x v="177"/>
    <x v="191"/>
    <x v="5"/>
    <x v="1"/>
    <n v="488.87"/>
    <x v="173"/>
    <x v="1"/>
    <x v="1"/>
    <x v="191"/>
    <n v="4"/>
    <x v="1"/>
    <x v="4"/>
    <n v="977.74"/>
  </r>
  <r>
    <x v="192"/>
    <x v="178"/>
    <x v="192"/>
    <x v="6"/>
    <x v="2"/>
    <n v="645.46"/>
    <x v="131"/>
    <x v="3"/>
    <x v="1"/>
    <x v="192"/>
    <n v="5"/>
    <x v="0"/>
    <x v="4"/>
    <n v="645.46"/>
  </r>
  <r>
    <x v="193"/>
    <x v="179"/>
    <x v="193"/>
    <x v="4"/>
    <x v="2"/>
    <n v="46.66"/>
    <x v="174"/>
    <x v="4"/>
    <x v="1"/>
    <x v="193"/>
    <n v="6"/>
    <x v="2"/>
    <x v="4"/>
    <n v="46.66"/>
  </r>
  <r>
    <x v="194"/>
    <x v="180"/>
    <x v="194"/>
    <x v="0"/>
    <x v="2"/>
    <n v="249.57"/>
    <x v="175"/>
    <x v="4"/>
    <x v="0"/>
    <x v="194"/>
    <n v="3"/>
    <x v="1"/>
    <x v="4"/>
    <n v="249.57"/>
  </r>
  <r>
    <x v="195"/>
    <x v="181"/>
    <x v="195"/>
    <x v="3"/>
    <x v="4"/>
    <n v="619.21"/>
    <x v="176"/>
    <x v="0"/>
    <x v="1"/>
    <x v="195"/>
    <n v="6"/>
    <x v="2"/>
    <x v="2"/>
    <n v="1857.63"/>
  </r>
  <r>
    <x v="196"/>
    <x v="182"/>
    <x v="196"/>
    <x v="6"/>
    <x v="3"/>
    <n v="217.13"/>
    <x v="177"/>
    <x v="4"/>
    <x v="3"/>
    <x v="196"/>
    <n v="8"/>
    <x v="3"/>
    <x v="2"/>
    <n v="868.52"/>
  </r>
  <r>
    <x v="197"/>
    <x v="183"/>
    <x v="197"/>
    <x v="5"/>
    <x v="0"/>
    <n v="221.51"/>
    <x v="178"/>
    <x v="4"/>
    <x v="2"/>
    <x v="197"/>
    <n v="5"/>
    <x v="3"/>
    <x v="1"/>
    <n v="1107.55"/>
  </r>
  <r>
    <x v="198"/>
    <x v="184"/>
    <x v="198"/>
    <x v="5"/>
    <x v="3"/>
    <n v="340.3"/>
    <x v="34"/>
    <x v="4"/>
    <x v="1"/>
    <x v="198"/>
    <n v="8"/>
    <x v="0"/>
    <x v="1"/>
    <n v="1361.2"/>
  </r>
  <r>
    <x v="199"/>
    <x v="185"/>
    <x v="199"/>
    <x v="1"/>
    <x v="2"/>
    <n v="625"/>
    <x v="179"/>
    <x v="1"/>
    <x v="2"/>
    <x v="199"/>
    <n v="5"/>
    <x v="3"/>
    <x v="4"/>
    <n v="625"/>
  </r>
  <r>
    <x v="200"/>
    <x v="186"/>
    <x v="200"/>
    <x v="2"/>
    <x v="0"/>
    <n v="433.26"/>
    <x v="30"/>
    <x v="2"/>
    <x v="3"/>
    <x v="200"/>
    <n v="9"/>
    <x v="0"/>
    <x v="4"/>
    <n v="2166.3000000000002"/>
  </r>
  <r>
    <x v="201"/>
    <x v="187"/>
    <x v="201"/>
    <x v="0"/>
    <x v="1"/>
    <n v="674.9"/>
    <x v="72"/>
    <x v="1"/>
    <x v="0"/>
    <x v="201"/>
    <n v="4"/>
    <x v="0"/>
    <x v="3"/>
    <n v="1349.8"/>
  </r>
  <r>
    <x v="202"/>
    <x v="188"/>
    <x v="202"/>
    <x v="0"/>
    <x v="4"/>
    <n v="253.98"/>
    <x v="125"/>
    <x v="2"/>
    <x v="1"/>
    <x v="202"/>
    <n v="3"/>
    <x v="1"/>
    <x v="2"/>
    <n v="761.93999999999994"/>
  </r>
  <r>
    <x v="203"/>
    <x v="94"/>
    <x v="203"/>
    <x v="4"/>
    <x v="4"/>
    <n v="356.84"/>
    <x v="180"/>
    <x v="1"/>
    <x v="0"/>
    <x v="203"/>
    <n v="5"/>
    <x v="0"/>
    <x v="0"/>
    <n v="1070.52"/>
  </r>
  <r>
    <x v="204"/>
    <x v="189"/>
    <x v="204"/>
    <x v="5"/>
    <x v="3"/>
    <n v="413.71"/>
    <x v="129"/>
    <x v="3"/>
    <x v="1"/>
    <x v="204"/>
    <n v="9"/>
    <x v="1"/>
    <x v="3"/>
    <n v="1654.84"/>
  </r>
  <r>
    <x v="205"/>
    <x v="190"/>
    <x v="205"/>
    <x v="6"/>
    <x v="4"/>
    <n v="147.38999999999999"/>
    <x v="181"/>
    <x v="0"/>
    <x v="2"/>
    <x v="205"/>
    <n v="3"/>
    <x v="2"/>
    <x v="2"/>
    <n v="442.17"/>
  </r>
  <r>
    <x v="206"/>
    <x v="162"/>
    <x v="206"/>
    <x v="5"/>
    <x v="3"/>
    <n v="229.1"/>
    <x v="182"/>
    <x v="3"/>
    <x v="2"/>
    <x v="206"/>
    <n v="8"/>
    <x v="3"/>
    <x v="2"/>
    <n v="916.4"/>
  </r>
  <r>
    <x v="207"/>
    <x v="191"/>
    <x v="207"/>
    <x v="1"/>
    <x v="2"/>
    <n v="121.96"/>
    <x v="183"/>
    <x v="0"/>
    <x v="3"/>
    <x v="207"/>
    <n v="3"/>
    <x v="2"/>
    <x v="4"/>
    <n v="121.96"/>
  </r>
  <r>
    <x v="208"/>
    <x v="192"/>
    <x v="208"/>
    <x v="6"/>
    <x v="1"/>
    <n v="408.32"/>
    <x v="171"/>
    <x v="1"/>
    <x v="0"/>
    <x v="208"/>
    <n v="3"/>
    <x v="1"/>
    <x v="3"/>
    <n v="816.64"/>
  </r>
  <r>
    <x v="209"/>
    <x v="193"/>
    <x v="209"/>
    <x v="2"/>
    <x v="0"/>
    <n v="187.97"/>
    <x v="7"/>
    <x v="4"/>
    <x v="2"/>
    <x v="209"/>
    <n v="9"/>
    <x v="0"/>
    <x v="4"/>
    <n v="939.85"/>
  </r>
  <r>
    <x v="210"/>
    <x v="194"/>
    <x v="210"/>
    <x v="3"/>
    <x v="4"/>
    <n v="358.48"/>
    <x v="122"/>
    <x v="3"/>
    <x v="3"/>
    <x v="210"/>
    <n v="7"/>
    <x v="1"/>
    <x v="3"/>
    <n v="1075.44"/>
  </r>
  <r>
    <x v="211"/>
    <x v="195"/>
    <x v="211"/>
    <x v="4"/>
    <x v="4"/>
    <n v="193.58"/>
    <x v="184"/>
    <x v="3"/>
    <x v="4"/>
    <x v="211"/>
    <n v="7"/>
    <x v="1"/>
    <x v="2"/>
    <n v="580.74"/>
  </r>
  <r>
    <x v="212"/>
    <x v="196"/>
    <x v="212"/>
    <x v="0"/>
    <x v="2"/>
    <n v="265.38"/>
    <x v="185"/>
    <x v="2"/>
    <x v="1"/>
    <x v="212"/>
    <n v="6"/>
    <x v="3"/>
    <x v="2"/>
    <n v="265.38"/>
  </r>
  <r>
    <x v="213"/>
    <x v="197"/>
    <x v="213"/>
    <x v="5"/>
    <x v="2"/>
    <n v="634.4"/>
    <x v="186"/>
    <x v="4"/>
    <x v="1"/>
    <x v="213"/>
    <n v="6"/>
    <x v="0"/>
    <x v="2"/>
    <n v="634.4"/>
  </r>
  <r>
    <x v="214"/>
    <x v="58"/>
    <x v="214"/>
    <x v="6"/>
    <x v="3"/>
    <n v="305.72000000000003"/>
    <x v="113"/>
    <x v="1"/>
    <x v="3"/>
    <x v="214"/>
    <n v="5"/>
    <x v="2"/>
    <x v="3"/>
    <n v="1222.8800000000001"/>
  </r>
  <r>
    <x v="215"/>
    <x v="121"/>
    <x v="215"/>
    <x v="4"/>
    <x v="2"/>
    <n v="303.60000000000002"/>
    <x v="187"/>
    <x v="4"/>
    <x v="0"/>
    <x v="215"/>
    <n v="5"/>
    <x v="1"/>
    <x v="3"/>
    <n v="303.60000000000002"/>
  </r>
  <r>
    <x v="216"/>
    <x v="198"/>
    <x v="216"/>
    <x v="0"/>
    <x v="3"/>
    <n v="496"/>
    <x v="55"/>
    <x v="1"/>
    <x v="1"/>
    <x v="216"/>
    <n v="8"/>
    <x v="3"/>
    <x v="4"/>
    <n v="1984"/>
  </r>
  <r>
    <x v="217"/>
    <x v="199"/>
    <x v="217"/>
    <x v="6"/>
    <x v="3"/>
    <n v="321.51"/>
    <x v="188"/>
    <x v="4"/>
    <x v="2"/>
    <x v="217"/>
    <n v="9"/>
    <x v="2"/>
    <x v="4"/>
    <n v="1286.04"/>
  </r>
  <r>
    <x v="218"/>
    <x v="200"/>
    <x v="218"/>
    <x v="2"/>
    <x v="4"/>
    <n v="112.46"/>
    <x v="189"/>
    <x v="3"/>
    <x v="0"/>
    <x v="218"/>
    <n v="6"/>
    <x v="0"/>
    <x v="0"/>
    <n v="337.38"/>
  </r>
  <r>
    <x v="219"/>
    <x v="201"/>
    <x v="219"/>
    <x v="5"/>
    <x v="0"/>
    <n v="61.97"/>
    <x v="190"/>
    <x v="4"/>
    <x v="3"/>
    <x v="219"/>
    <n v="6"/>
    <x v="0"/>
    <x v="2"/>
    <n v="309.85000000000002"/>
  </r>
  <r>
    <x v="220"/>
    <x v="202"/>
    <x v="220"/>
    <x v="5"/>
    <x v="1"/>
    <n v="373.17"/>
    <x v="191"/>
    <x v="2"/>
    <x v="4"/>
    <x v="220"/>
    <n v="6"/>
    <x v="0"/>
    <x v="1"/>
    <n v="746.34"/>
  </r>
  <r>
    <x v="221"/>
    <x v="203"/>
    <x v="221"/>
    <x v="2"/>
    <x v="0"/>
    <n v="639.37"/>
    <x v="64"/>
    <x v="0"/>
    <x v="4"/>
    <x v="221"/>
    <n v="6"/>
    <x v="0"/>
    <x v="4"/>
    <n v="3196.85"/>
  </r>
  <r>
    <x v="222"/>
    <x v="204"/>
    <x v="222"/>
    <x v="3"/>
    <x v="3"/>
    <n v="693.36"/>
    <x v="192"/>
    <x v="1"/>
    <x v="0"/>
    <x v="222"/>
    <n v="8"/>
    <x v="2"/>
    <x v="0"/>
    <n v="2773.44"/>
  </r>
  <r>
    <x v="223"/>
    <x v="57"/>
    <x v="223"/>
    <x v="1"/>
    <x v="3"/>
    <n v="692.91"/>
    <x v="113"/>
    <x v="2"/>
    <x v="4"/>
    <x v="223"/>
    <n v="9"/>
    <x v="0"/>
    <x v="0"/>
    <n v="2771.64"/>
  </r>
  <r>
    <x v="224"/>
    <x v="205"/>
    <x v="224"/>
    <x v="4"/>
    <x v="3"/>
    <n v="91.46"/>
    <x v="193"/>
    <x v="4"/>
    <x v="1"/>
    <x v="224"/>
    <n v="9"/>
    <x v="0"/>
    <x v="1"/>
    <n v="365.84"/>
  </r>
  <r>
    <x v="225"/>
    <x v="206"/>
    <x v="225"/>
    <x v="1"/>
    <x v="4"/>
    <n v="273.95999999999998"/>
    <x v="194"/>
    <x v="0"/>
    <x v="2"/>
    <x v="225"/>
    <n v="8"/>
    <x v="0"/>
    <x v="4"/>
    <n v="821.87999999999988"/>
  </r>
  <r>
    <x v="226"/>
    <x v="207"/>
    <x v="226"/>
    <x v="6"/>
    <x v="4"/>
    <n v="588.04999999999995"/>
    <x v="195"/>
    <x v="3"/>
    <x v="3"/>
    <x v="226"/>
    <n v="8"/>
    <x v="2"/>
    <x v="0"/>
    <n v="1764.15"/>
  </r>
  <r>
    <x v="227"/>
    <x v="208"/>
    <x v="227"/>
    <x v="0"/>
    <x v="1"/>
    <n v="365.17"/>
    <x v="118"/>
    <x v="1"/>
    <x v="1"/>
    <x v="227"/>
    <n v="4"/>
    <x v="1"/>
    <x v="3"/>
    <n v="730.34"/>
  </r>
  <r>
    <x v="228"/>
    <x v="209"/>
    <x v="228"/>
    <x v="3"/>
    <x v="3"/>
    <n v="385.92"/>
    <x v="196"/>
    <x v="2"/>
    <x v="1"/>
    <x v="228"/>
    <n v="8"/>
    <x v="2"/>
    <x v="0"/>
    <n v="1543.68"/>
  </r>
  <r>
    <x v="229"/>
    <x v="210"/>
    <x v="229"/>
    <x v="2"/>
    <x v="2"/>
    <n v="562.61"/>
    <x v="197"/>
    <x v="2"/>
    <x v="3"/>
    <x v="229"/>
    <n v="3"/>
    <x v="3"/>
    <x v="3"/>
    <n v="562.61"/>
  </r>
  <r>
    <x v="230"/>
    <x v="211"/>
    <x v="230"/>
    <x v="6"/>
    <x v="3"/>
    <n v="61.91"/>
    <x v="198"/>
    <x v="3"/>
    <x v="3"/>
    <x v="230"/>
    <n v="6"/>
    <x v="3"/>
    <x v="2"/>
    <n v="247.64"/>
  </r>
  <r>
    <x v="231"/>
    <x v="212"/>
    <x v="231"/>
    <x v="1"/>
    <x v="3"/>
    <n v="41.9"/>
    <x v="199"/>
    <x v="3"/>
    <x v="4"/>
    <x v="231"/>
    <n v="9"/>
    <x v="1"/>
    <x v="0"/>
    <n v="167.6"/>
  </r>
  <r>
    <x v="232"/>
    <x v="213"/>
    <x v="232"/>
    <x v="4"/>
    <x v="3"/>
    <n v="444.44"/>
    <x v="200"/>
    <x v="0"/>
    <x v="1"/>
    <x v="232"/>
    <n v="8"/>
    <x v="3"/>
    <x v="4"/>
    <n v="1777.76"/>
  </r>
  <r>
    <x v="233"/>
    <x v="214"/>
    <x v="233"/>
    <x v="1"/>
    <x v="4"/>
    <n v="311.33"/>
    <x v="72"/>
    <x v="4"/>
    <x v="1"/>
    <x v="233"/>
    <n v="3"/>
    <x v="3"/>
    <x v="0"/>
    <n v="933.99"/>
  </r>
  <r>
    <x v="234"/>
    <x v="130"/>
    <x v="234"/>
    <x v="4"/>
    <x v="3"/>
    <n v="236.41"/>
    <x v="201"/>
    <x v="0"/>
    <x v="4"/>
    <x v="234"/>
    <n v="7"/>
    <x v="0"/>
    <x v="4"/>
    <n v="945.64"/>
  </r>
  <r>
    <x v="235"/>
    <x v="215"/>
    <x v="235"/>
    <x v="6"/>
    <x v="2"/>
    <n v="65.45"/>
    <x v="202"/>
    <x v="4"/>
    <x v="4"/>
    <x v="235"/>
    <n v="2"/>
    <x v="3"/>
    <x v="4"/>
    <n v="65.45"/>
  </r>
  <r>
    <x v="236"/>
    <x v="107"/>
    <x v="236"/>
    <x v="0"/>
    <x v="2"/>
    <n v="318.81"/>
    <x v="203"/>
    <x v="0"/>
    <x v="4"/>
    <x v="236"/>
    <n v="3"/>
    <x v="3"/>
    <x v="2"/>
    <n v="318.81"/>
  </r>
  <r>
    <x v="237"/>
    <x v="216"/>
    <x v="237"/>
    <x v="0"/>
    <x v="4"/>
    <n v="583.72"/>
    <x v="204"/>
    <x v="2"/>
    <x v="0"/>
    <x v="237"/>
    <n v="5"/>
    <x v="1"/>
    <x v="3"/>
    <n v="1751.16"/>
  </r>
  <r>
    <x v="238"/>
    <x v="217"/>
    <x v="238"/>
    <x v="6"/>
    <x v="3"/>
    <n v="384.32"/>
    <x v="205"/>
    <x v="2"/>
    <x v="4"/>
    <x v="238"/>
    <n v="6"/>
    <x v="3"/>
    <x v="4"/>
    <n v="1537.28"/>
  </r>
  <r>
    <x v="239"/>
    <x v="218"/>
    <x v="239"/>
    <x v="2"/>
    <x v="4"/>
    <n v="538.74"/>
    <x v="206"/>
    <x v="1"/>
    <x v="0"/>
    <x v="239"/>
    <n v="6"/>
    <x v="1"/>
    <x v="2"/>
    <n v="1616.22"/>
  </r>
  <r>
    <x v="240"/>
    <x v="219"/>
    <x v="240"/>
    <x v="2"/>
    <x v="2"/>
    <n v="17.239999999999998"/>
    <x v="207"/>
    <x v="1"/>
    <x v="4"/>
    <x v="240"/>
    <n v="2"/>
    <x v="1"/>
    <x v="0"/>
    <n v="17.239999999999998"/>
  </r>
  <r>
    <x v="241"/>
    <x v="220"/>
    <x v="241"/>
    <x v="3"/>
    <x v="0"/>
    <n v="615.66999999999996"/>
    <x v="208"/>
    <x v="1"/>
    <x v="4"/>
    <x v="241"/>
    <n v="6"/>
    <x v="0"/>
    <x v="2"/>
    <n v="3078.35"/>
  </r>
  <r>
    <x v="242"/>
    <x v="221"/>
    <x v="242"/>
    <x v="4"/>
    <x v="1"/>
    <n v="219.1"/>
    <x v="209"/>
    <x v="1"/>
    <x v="4"/>
    <x v="242"/>
    <n v="4"/>
    <x v="0"/>
    <x v="1"/>
    <n v="438.2"/>
  </r>
  <r>
    <x v="243"/>
    <x v="222"/>
    <x v="243"/>
    <x v="3"/>
    <x v="1"/>
    <n v="144.66"/>
    <x v="210"/>
    <x v="1"/>
    <x v="1"/>
    <x v="243"/>
    <n v="7"/>
    <x v="1"/>
    <x v="4"/>
    <n v="289.32"/>
  </r>
  <r>
    <x v="244"/>
    <x v="223"/>
    <x v="244"/>
    <x v="6"/>
    <x v="1"/>
    <n v="317.77"/>
    <x v="211"/>
    <x v="0"/>
    <x v="1"/>
    <x v="244"/>
    <n v="4"/>
    <x v="3"/>
    <x v="3"/>
    <n v="635.54"/>
  </r>
  <r>
    <x v="245"/>
    <x v="224"/>
    <x v="245"/>
    <x v="5"/>
    <x v="2"/>
    <n v="223.3"/>
    <x v="212"/>
    <x v="1"/>
    <x v="2"/>
    <x v="245"/>
    <n v="1"/>
    <x v="2"/>
    <x v="3"/>
    <n v="223.3"/>
  </r>
  <r>
    <x v="246"/>
    <x v="225"/>
    <x v="246"/>
    <x v="6"/>
    <x v="1"/>
    <n v="342.11"/>
    <x v="213"/>
    <x v="3"/>
    <x v="0"/>
    <x v="246"/>
    <n v="2"/>
    <x v="3"/>
    <x v="0"/>
    <n v="684.22"/>
  </r>
  <r>
    <x v="247"/>
    <x v="145"/>
    <x v="247"/>
    <x v="4"/>
    <x v="1"/>
    <n v="220.9"/>
    <x v="214"/>
    <x v="3"/>
    <x v="0"/>
    <x v="247"/>
    <n v="4"/>
    <x v="2"/>
    <x v="2"/>
    <n v="441.8"/>
  </r>
  <r>
    <x v="248"/>
    <x v="226"/>
    <x v="248"/>
    <x v="5"/>
    <x v="2"/>
    <n v="670.54"/>
    <x v="215"/>
    <x v="4"/>
    <x v="0"/>
    <x v="248"/>
    <n v="6"/>
    <x v="1"/>
    <x v="1"/>
    <n v="670.54"/>
  </r>
  <r>
    <x v="249"/>
    <x v="227"/>
    <x v="249"/>
    <x v="4"/>
    <x v="2"/>
    <n v="546.19000000000005"/>
    <x v="216"/>
    <x v="4"/>
    <x v="4"/>
    <x v="249"/>
    <n v="5"/>
    <x v="1"/>
    <x v="1"/>
    <n v="546.19000000000005"/>
  </r>
  <r>
    <x v="250"/>
    <x v="228"/>
    <x v="250"/>
    <x v="6"/>
    <x v="4"/>
    <n v="42.95"/>
    <x v="82"/>
    <x v="3"/>
    <x v="2"/>
    <x v="250"/>
    <n v="8"/>
    <x v="0"/>
    <x v="2"/>
    <n v="128.85"/>
  </r>
  <r>
    <x v="251"/>
    <x v="229"/>
    <x v="251"/>
    <x v="0"/>
    <x v="3"/>
    <n v="14.69"/>
    <x v="217"/>
    <x v="4"/>
    <x v="1"/>
    <x v="251"/>
    <n v="9"/>
    <x v="2"/>
    <x v="2"/>
    <n v="58.76"/>
  </r>
  <r>
    <x v="252"/>
    <x v="28"/>
    <x v="252"/>
    <x v="1"/>
    <x v="3"/>
    <n v="668.36"/>
    <x v="218"/>
    <x v="3"/>
    <x v="1"/>
    <x v="252"/>
    <n v="5"/>
    <x v="1"/>
    <x v="3"/>
    <n v="2673.44"/>
  </r>
  <r>
    <x v="253"/>
    <x v="230"/>
    <x v="253"/>
    <x v="3"/>
    <x v="3"/>
    <n v="413.74"/>
    <x v="93"/>
    <x v="3"/>
    <x v="2"/>
    <x v="253"/>
    <n v="7"/>
    <x v="1"/>
    <x v="0"/>
    <n v="1654.96"/>
  </r>
  <r>
    <x v="254"/>
    <x v="231"/>
    <x v="254"/>
    <x v="0"/>
    <x v="4"/>
    <n v="263.19"/>
    <x v="205"/>
    <x v="1"/>
    <x v="3"/>
    <x v="254"/>
    <n v="5"/>
    <x v="2"/>
    <x v="0"/>
    <n v="789.56999999999994"/>
  </r>
  <r>
    <x v="255"/>
    <x v="232"/>
    <x v="255"/>
    <x v="0"/>
    <x v="2"/>
    <n v="263.95999999999998"/>
    <x v="155"/>
    <x v="3"/>
    <x v="2"/>
    <x v="255"/>
    <n v="2"/>
    <x v="0"/>
    <x v="4"/>
    <n v="263.95999999999998"/>
  </r>
  <r>
    <x v="256"/>
    <x v="233"/>
    <x v="256"/>
    <x v="3"/>
    <x v="0"/>
    <n v="75.81"/>
    <x v="219"/>
    <x v="3"/>
    <x v="2"/>
    <x v="256"/>
    <n v="10"/>
    <x v="3"/>
    <x v="0"/>
    <n v="379.05"/>
  </r>
  <r>
    <x v="257"/>
    <x v="234"/>
    <x v="257"/>
    <x v="1"/>
    <x v="2"/>
    <n v="406.22"/>
    <x v="220"/>
    <x v="2"/>
    <x v="1"/>
    <x v="257"/>
    <n v="5"/>
    <x v="0"/>
    <x v="1"/>
    <n v="406.22"/>
  </r>
  <r>
    <x v="258"/>
    <x v="235"/>
    <x v="258"/>
    <x v="2"/>
    <x v="1"/>
    <n v="103.41"/>
    <x v="221"/>
    <x v="1"/>
    <x v="0"/>
    <x v="258"/>
    <n v="2"/>
    <x v="1"/>
    <x v="1"/>
    <n v="206.82"/>
  </r>
  <r>
    <x v="259"/>
    <x v="236"/>
    <x v="259"/>
    <x v="3"/>
    <x v="3"/>
    <n v="435.12"/>
    <x v="125"/>
    <x v="2"/>
    <x v="3"/>
    <x v="259"/>
    <n v="9"/>
    <x v="0"/>
    <x v="0"/>
    <n v="1740.48"/>
  </r>
  <r>
    <x v="260"/>
    <x v="209"/>
    <x v="260"/>
    <x v="0"/>
    <x v="1"/>
    <n v="407.79"/>
    <x v="222"/>
    <x v="0"/>
    <x v="0"/>
    <x v="260"/>
    <n v="3"/>
    <x v="2"/>
    <x v="4"/>
    <n v="815.58"/>
  </r>
  <r>
    <x v="261"/>
    <x v="237"/>
    <x v="261"/>
    <x v="1"/>
    <x v="0"/>
    <n v="173.65"/>
    <x v="223"/>
    <x v="3"/>
    <x v="3"/>
    <x v="261"/>
    <n v="9"/>
    <x v="0"/>
    <x v="2"/>
    <n v="868.25"/>
  </r>
  <r>
    <x v="262"/>
    <x v="238"/>
    <x v="262"/>
    <x v="1"/>
    <x v="3"/>
    <n v="249.07"/>
    <x v="126"/>
    <x v="2"/>
    <x v="2"/>
    <x v="262"/>
    <n v="5"/>
    <x v="3"/>
    <x v="1"/>
    <n v="996.28"/>
  </r>
  <r>
    <x v="263"/>
    <x v="239"/>
    <x v="263"/>
    <x v="1"/>
    <x v="3"/>
    <n v="434.85"/>
    <x v="224"/>
    <x v="2"/>
    <x v="4"/>
    <x v="263"/>
    <n v="4"/>
    <x v="3"/>
    <x v="4"/>
    <n v="1739.4"/>
  </r>
  <r>
    <x v="264"/>
    <x v="240"/>
    <x v="264"/>
    <x v="2"/>
    <x v="2"/>
    <n v="436.77"/>
    <x v="225"/>
    <x v="4"/>
    <x v="2"/>
    <x v="264"/>
    <n v="5"/>
    <x v="1"/>
    <x v="4"/>
    <n v="436.77"/>
  </r>
  <r>
    <x v="265"/>
    <x v="241"/>
    <x v="265"/>
    <x v="4"/>
    <x v="2"/>
    <n v="572.13"/>
    <x v="226"/>
    <x v="0"/>
    <x v="1"/>
    <x v="265"/>
    <n v="4"/>
    <x v="0"/>
    <x v="4"/>
    <n v="572.13"/>
  </r>
  <r>
    <x v="266"/>
    <x v="180"/>
    <x v="266"/>
    <x v="3"/>
    <x v="3"/>
    <n v="583.07000000000005"/>
    <x v="227"/>
    <x v="2"/>
    <x v="1"/>
    <x v="266"/>
    <n v="6"/>
    <x v="1"/>
    <x v="1"/>
    <n v="2332.2800000000002"/>
  </r>
  <r>
    <x v="267"/>
    <x v="242"/>
    <x v="267"/>
    <x v="3"/>
    <x v="0"/>
    <n v="468.51"/>
    <x v="228"/>
    <x v="0"/>
    <x v="3"/>
    <x v="267"/>
    <n v="9"/>
    <x v="2"/>
    <x v="3"/>
    <n v="2342.5500000000002"/>
  </r>
  <r>
    <x v="268"/>
    <x v="178"/>
    <x v="268"/>
    <x v="1"/>
    <x v="1"/>
    <n v="423.88"/>
    <x v="229"/>
    <x v="0"/>
    <x v="3"/>
    <x v="268"/>
    <n v="7"/>
    <x v="0"/>
    <x v="1"/>
    <n v="847.76"/>
  </r>
  <r>
    <x v="269"/>
    <x v="97"/>
    <x v="269"/>
    <x v="2"/>
    <x v="3"/>
    <n v="663.67"/>
    <x v="67"/>
    <x v="2"/>
    <x v="4"/>
    <x v="269"/>
    <n v="7"/>
    <x v="1"/>
    <x v="4"/>
    <n v="2654.68"/>
  </r>
  <r>
    <x v="270"/>
    <x v="243"/>
    <x v="270"/>
    <x v="4"/>
    <x v="3"/>
    <n v="309.91000000000003"/>
    <x v="230"/>
    <x v="0"/>
    <x v="0"/>
    <x v="270"/>
    <n v="5"/>
    <x v="3"/>
    <x v="4"/>
    <n v="1239.6400000000001"/>
  </r>
  <r>
    <x v="271"/>
    <x v="125"/>
    <x v="271"/>
    <x v="0"/>
    <x v="2"/>
    <n v="542.07000000000005"/>
    <x v="231"/>
    <x v="4"/>
    <x v="0"/>
    <x v="271"/>
    <n v="6"/>
    <x v="3"/>
    <x v="1"/>
    <n v="542.07000000000005"/>
  </r>
  <r>
    <x v="272"/>
    <x v="244"/>
    <x v="272"/>
    <x v="3"/>
    <x v="1"/>
    <n v="399.32"/>
    <x v="232"/>
    <x v="1"/>
    <x v="4"/>
    <x v="272"/>
    <n v="6"/>
    <x v="3"/>
    <x v="0"/>
    <n v="798.64"/>
  </r>
  <r>
    <x v="273"/>
    <x v="245"/>
    <x v="273"/>
    <x v="2"/>
    <x v="1"/>
    <n v="238.25"/>
    <x v="233"/>
    <x v="1"/>
    <x v="1"/>
    <x v="273"/>
    <n v="7"/>
    <x v="1"/>
    <x v="2"/>
    <n v="476.5"/>
  </r>
  <r>
    <x v="274"/>
    <x v="246"/>
    <x v="274"/>
    <x v="1"/>
    <x v="1"/>
    <n v="182.4"/>
    <x v="234"/>
    <x v="3"/>
    <x v="1"/>
    <x v="274"/>
    <n v="5"/>
    <x v="0"/>
    <x v="1"/>
    <n v="364.8"/>
  </r>
  <r>
    <x v="275"/>
    <x v="247"/>
    <x v="275"/>
    <x v="3"/>
    <x v="1"/>
    <n v="65.069999999999993"/>
    <x v="235"/>
    <x v="2"/>
    <x v="1"/>
    <x v="275"/>
    <n v="4"/>
    <x v="0"/>
    <x v="4"/>
    <n v="130.13999999999999"/>
  </r>
  <r>
    <x v="276"/>
    <x v="248"/>
    <x v="276"/>
    <x v="4"/>
    <x v="1"/>
    <n v="600.57000000000005"/>
    <x v="236"/>
    <x v="0"/>
    <x v="2"/>
    <x v="276"/>
    <n v="3"/>
    <x v="3"/>
    <x v="0"/>
    <n v="1201.1400000000001"/>
  </r>
  <r>
    <x v="277"/>
    <x v="82"/>
    <x v="277"/>
    <x v="3"/>
    <x v="0"/>
    <n v="90.92"/>
    <x v="237"/>
    <x v="2"/>
    <x v="3"/>
    <x v="277"/>
    <n v="9"/>
    <x v="0"/>
    <x v="3"/>
    <n v="454.6"/>
  </r>
  <r>
    <x v="278"/>
    <x v="249"/>
    <x v="278"/>
    <x v="5"/>
    <x v="0"/>
    <n v="362.46"/>
    <x v="238"/>
    <x v="4"/>
    <x v="3"/>
    <x v="278"/>
    <n v="6"/>
    <x v="1"/>
    <x v="0"/>
    <n v="1812.3"/>
  </r>
  <r>
    <x v="279"/>
    <x v="250"/>
    <x v="279"/>
    <x v="3"/>
    <x v="4"/>
    <n v="55.01"/>
    <x v="239"/>
    <x v="1"/>
    <x v="4"/>
    <x v="279"/>
    <n v="7"/>
    <x v="3"/>
    <x v="2"/>
    <n v="165.03"/>
  </r>
  <r>
    <x v="280"/>
    <x v="14"/>
    <x v="280"/>
    <x v="2"/>
    <x v="4"/>
    <n v="404.62"/>
    <x v="240"/>
    <x v="3"/>
    <x v="3"/>
    <x v="280"/>
    <n v="6"/>
    <x v="1"/>
    <x v="0"/>
    <n v="1213.8599999999999"/>
  </r>
  <r>
    <x v="281"/>
    <x v="152"/>
    <x v="281"/>
    <x v="6"/>
    <x v="3"/>
    <n v="654.79"/>
    <x v="241"/>
    <x v="4"/>
    <x v="4"/>
    <x v="281"/>
    <n v="9"/>
    <x v="2"/>
    <x v="1"/>
    <n v="2619.16"/>
  </r>
  <r>
    <x v="282"/>
    <x v="251"/>
    <x v="282"/>
    <x v="4"/>
    <x v="3"/>
    <n v="637.79"/>
    <x v="242"/>
    <x v="3"/>
    <x v="1"/>
    <x v="282"/>
    <n v="9"/>
    <x v="1"/>
    <x v="4"/>
    <n v="2551.16"/>
  </r>
  <r>
    <x v="283"/>
    <x v="252"/>
    <x v="283"/>
    <x v="5"/>
    <x v="3"/>
    <n v="540.33000000000004"/>
    <x v="243"/>
    <x v="4"/>
    <x v="0"/>
    <x v="283"/>
    <n v="6"/>
    <x v="2"/>
    <x v="4"/>
    <n v="2161.3200000000002"/>
  </r>
  <r>
    <x v="284"/>
    <x v="223"/>
    <x v="284"/>
    <x v="5"/>
    <x v="0"/>
    <n v="208.17"/>
    <x v="244"/>
    <x v="2"/>
    <x v="2"/>
    <x v="284"/>
    <n v="6"/>
    <x v="0"/>
    <x v="3"/>
    <n v="1040.8499999999999"/>
  </r>
  <r>
    <x v="285"/>
    <x v="69"/>
    <x v="285"/>
    <x v="1"/>
    <x v="2"/>
    <n v="338.31"/>
    <x v="233"/>
    <x v="1"/>
    <x v="3"/>
    <x v="285"/>
    <n v="3"/>
    <x v="2"/>
    <x v="4"/>
    <n v="338.31"/>
  </r>
  <r>
    <x v="286"/>
    <x v="253"/>
    <x v="286"/>
    <x v="0"/>
    <x v="4"/>
    <n v="139.44999999999999"/>
    <x v="112"/>
    <x v="3"/>
    <x v="2"/>
    <x v="286"/>
    <n v="8"/>
    <x v="3"/>
    <x v="4"/>
    <n v="418.35"/>
  </r>
  <r>
    <x v="287"/>
    <x v="254"/>
    <x v="287"/>
    <x v="3"/>
    <x v="3"/>
    <n v="655.17999999999995"/>
    <x v="245"/>
    <x v="1"/>
    <x v="0"/>
    <x v="287"/>
    <n v="5"/>
    <x v="2"/>
    <x v="3"/>
    <n v="2620.7199999999998"/>
  </r>
  <r>
    <x v="288"/>
    <x v="255"/>
    <x v="288"/>
    <x v="5"/>
    <x v="3"/>
    <n v="512.75"/>
    <x v="246"/>
    <x v="0"/>
    <x v="2"/>
    <x v="288"/>
    <n v="8"/>
    <x v="3"/>
    <x v="4"/>
    <n v="2051"/>
  </r>
  <r>
    <x v="289"/>
    <x v="256"/>
    <x v="289"/>
    <x v="3"/>
    <x v="3"/>
    <n v="160.49"/>
    <x v="10"/>
    <x v="2"/>
    <x v="0"/>
    <x v="289"/>
    <n v="8"/>
    <x v="3"/>
    <x v="1"/>
    <n v="641.96"/>
  </r>
  <r>
    <x v="290"/>
    <x v="257"/>
    <x v="290"/>
    <x v="3"/>
    <x v="4"/>
    <n v="99.9"/>
    <x v="165"/>
    <x v="4"/>
    <x v="3"/>
    <x v="290"/>
    <n v="8"/>
    <x v="1"/>
    <x v="3"/>
    <n v="299.7"/>
  </r>
  <r>
    <x v="291"/>
    <x v="258"/>
    <x v="291"/>
    <x v="1"/>
    <x v="1"/>
    <n v="345.01"/>
    <x v="247"/>
    <x v="2"/>
    <x v="3"/>
    <x v="291"/>
    <n v="6"/>
    <x v="1"/>
    <x v="4"/>
    <n v="690.02"/>
  </r>
  <r>
    <x v="292"/>
    <x v="259"/>
    <x v="292"/>
    <x v="0"/>
    <x v="2"/>
    <n v="65.95"/>
    <x v="184"/>
    <x v="2"/>
    <x v="3"/>
    <x v="292"/>
    <n v="5"/>
    <x v="2"/>
    <x v="3"/>
    <n v="65.95"/>
  </r>
  <r>
    <x v="293"/>
    <x v="223"/>
    <x v="293"/>
    <x v="2"/>
    <x v="3"/>
    <n v="463.04"/>
    <x v="248"/>
    <x v="3"/>
    <x v="2"/>
    <x v="293"/>
    <n v="9"/>
    <x v="2"/>
    <x v="0"/>
    <n v="1852.16"/>
  </r>
  <r>
    <x v="294"/>
    <x v="260"/>
    <x v="294"/>
    <x v="1"/>
    <x v="1"/>
    <n v="297.70999999999998"/>
    <x v="249"/>
    <x v="1"/>
    <x v="0"/>
    <x v="294"/>
    <n v="7"/>
    <x v="0"/>
    <x v="1"/>
    <n v="595.41999999999996"/>
  </r>
  <r>
    <x v="295"/>
    <x v="261"/>
    <x v="295"/>
    <x v="4"/>
    <x v="0"/>
    <n v="107.48"/>
    <x v="250"/>
    <x v="0"/>
    <x v="1"/>
    <x v="295"/>
    <n v="9"/>
    <x v="1"/>
    <x v="2"/>
    <n v="537.4"/>
  </r>
  <r>
    <x v="296"/>
    <x v="83"/>
    <x v="296"/>
    <x v="6"/>
    <x v="0"/>
    <n v="638.79999999999995"/>
    <x v="48"/>
    <x v="0"/>
    <x v="1"/>
    <x v="296"/>
    <n v="10"/>
    <x v="3"/>
    <x v="1"/>
    <n v="3194"/>
  </r>
  <r>
    <x v="297"/>
    <x v="262"/>
    <x v="297"/>
    <x v="6"/>
    <x v="1"/>
    <n v="493.88"/>
    <x v="251"/>
    <x v="2"/>
    <x v="2"/>
    <x v="297"/>
    <n v="7"/>
    <x v="0"/>
    <x v="0"/>
    <n v="987.76"/>
  </r>
  <r>
    <x v="298"/>
    <x v="263"/>
    <x v="298"/>
    <x v="4"/>
    <x v="3"/>
    <n v="301.17"/>
    <x v="40"/>
    <x v="1"/>
    <x v="1"/>
    <x v="298"/>
    <n v="6"/>
    <x v="2"/>
    <x v="2"/>
    <n v="1204.68"/>
  </r>
  <r>
    <x v="299"/>
    <x v="264"/>
    <x v="299"/>
    <x v="0"/>
    <x v="2"/>
    <n v="278.66000000000003"/>
    <x v="252"/>
    <x v="3"/>
    <x v="1"/>
    <x v="299"/>
    <n v="2"/>
    <x v="1"/>
    <x v="0"/>
    <n v="278.66000000000003"/>
  </r>
  <r>
    <x v="300"/>
    <x v="265"/>
    <x v="300"/>
    <x v="1"/>
    <x v="2"/>
    <n v="287.45999999999998"/>
    <x v="253"/>
    <x v="0"/>
    <x v="2"/>
    <x v="300"/>
    <n v="3"/>
    <x v="1"/>
    <x v="3"/>
    <n v="287.45999999999998"/>
  </r>
  <r>
    <x v="301"/>
    <x v="67"/>
    <x v="301"/>
    <x v="3"/>
    <x v="2"/>
    <n v="583.99"/>
    <x v="254"/>
    <x v="4"/>
    <x v="1"/>
    <x v="301"/>
    <n v="2"/>
    <x v="0"/>
    <x v="2"/>
    <n v="583.99"/>
  </r>
  <r>
    <x v="302"/>
    <x v="220"/>
    <x v="302"/>
    <x v="3"/>
    <x v="4"/>
    <n v="468.74"/>
    <x v="255"/>
    <x v="4"/>
    <x v="4"/>
    <x v="302"/>
    <n v="4"/>
    <x v="1"/>
    <x v="0"/>
    <n v="1406.22"/>
  </r>
  <r>
    <x v="303"/>
    <x v="34"/>
    <x v="303"/>
    <x v="2"/>
    <x v="2"/>
    <n v="30.54"/>
    <x v="256"/>
    <x v="0"/>
    <x v="2"/>
    <x v="303"/>
    <n v="1"/>
    <x v="2"/>
    <x v="4"/>
    <n v="30.54"/>
  </r>
  <r>
    <x v="304"/>
    <x v="266"/>
    <x v="304"/>
    <x v="0"/>
    <x v="0"/>
    <n v="408.73"/>
    <x v="257"/>
    <x v="3"/>
    <x v="3"/>
    <x v="304"/>
    <n v="10"/>
    <x v="1"/>
    <x v="0"/>
    <n v="2043.65"/>
  </r>
  <r>
    <x v="305"/>
    <x v="97"/>
    <x v="305"/>
    <x v="5"/>
    <x v="3"/>
    <n v="126.89"/>
    <x v="258"/>
    <x v="4"/>
    <x v="4"/>
    <x v="305"/>
    <n v="9"/>
    <x v="1"/>
    <x v="0"/>
    <n v="507.56"/>
  </r>
  <r>
    <x v="306"/>
    <x v="267"/>
    <x v="306"/>
    <x v="4"/>
    <x v="1"/>
    <n v="57.07"/>
    <x v="259"/>
    <x v="0"/>
    <x v="2"/>
    <x v="306"/>
    <n v="3"/>
    <x v="0"/>
    <x v="0"/>
    <n v="114.14"/>
  </r>
  <r>
    <x v="307"/>
    <x v="268"/>
    <x v="307"/>
    <x v="5"/>
    <x v="4"/>
    <n v="557.41"/>
    <x v="260"/>
    <x v="1"/>
    <x v="3"/>
    <x v="307"/>
    <n v="4"/>
    <x v="2"/>
    <x v="2"/>
    <n v="1672.23"/>
  </r>
  <r>
    <x v="308"/>
    <x v="66"/>
    <x v="308"/>
    <x v="4"/>
    <x v="4"/>
    <n v="448.9"/>
    <x v="156"/>
    <x v="0"/>
    <x v="2"/>
    <x v="308"/>
    <n v="7"/>
    <x v="0"/>
    <x v="0"/>
    <n v="1346.7"/>
  </r>
  <r>
    <x v="309"/>
    <x v="269"/>
    <x v="309"/>
    <x v="3"/>
    <x v="3"/>
    <n v="549.76"/>
    <x v="261"/>
    <x v="0"/>
    <x v="3"/>
    <x v="309"/>
    <n v="4"/>
    <x v="1"/>
    <x v="3"/>
    <n v="2199.04"/>
  </r>
  <r>
    <x v="310"/>
    <x v="270"/>
    <x v="310"/>
    <x v="4"/>
    <x v="4"/>
    <n v="132.47999999999999"/>
    <x v="262"/>
    <x v="1"/>
    <x v="0"/>
    <x v="310"/>
    <n v="4"/>
    <x v="2"/>
    <x v="1"/>
    <n v="397.43999999999988"/>
  </r>
  <r>
    <x v="311"/>
    <x v="271"/>
    <x v="311"/>
    <x v="6"/>
    <x v="0"/>
    <n v="489.37"/>
    <x v="263"/>
    <x v="1"/>
    <x v="2"/>
    <x v="311"/>
    <n v="8"/>
    <x v="2"/>
    <x v="0"/>
    <n v="2446.85"/>
  </r>
  <r>
    <x v="312"/>
    <x v="272"/>
    <x v="312"/>
    <x v="4"/>
    <x v="0"/>
    <n v="66.31"/>
    <x v="196"/>
    <x v="3"/>
    <x v="4"/>
    <x v="312"/>
    <n v="7"/>
    <x v="1"/>
    <x v="1"/>
    <n v="331.55"/>
  </r>
  <r>
    <x v="313"/>
    <x v="273"/>
    <x v="313"/>
    <x v="3"/>
    <x v="1"/>
    <n v="434.3"/>
    <x v="264"/>
    <x v="4"/>
    <x v="3"/>
    <x v="313"/>
    <n v="7"/>
    <x v="0"/>
    <x v="0"/>
    <n v="868.6"/>
  </r>
  <r>
    <x v="314"/>
    <x v="274"/>
    <x v="314"/>
    <x v="6"/>
    <x v="3"/>
    <n v="153.09"/>
    <x v="265"/>
    <x v="1"/>
    <x v="3"/>
    <x v="314"/>
    <n v="4"/>
    <x v="1"/>
    <x v="1"/>
    <n v="612.36"/>
  </r>
  <r>
    <x v="315"/>
    <x v="275"/>
    <x v="315"/>
    <x v="2"/>
    <x v="0"/>
    <n v="91.67"/>
    <x v="266"/>
    <x v="1"/>
    <x v="1"/>
    <x v="315"/>
    <n v="9"/>
    <x v="1"/>
    <x v="2"/>
    <n v="458.35"/>
  </r>
  <r>
    <x v="316"/>
    <x v="276"/>
    <x v="316"/>
    <x v="6"/>
    <x v="3"/>
    <n v="275.27999999999997"/>
    <x v="267"/>
    <x v="3"/>
    <x v="0"/>
    <x v="316"/>
    <n v="9"/>
    <x v="3"/>
    <x v="3"/>
    <n v="1101.1199999999999"/>
  </r>
  <r>
    <x v="317"/>
    <x v="132"/>
    <x v="317"/>
    <x v="0"/>
    <x v="1"/>
    <n v="139.94999999999999"/>
    <x v="268"/>
    <x v="1"/>
    <x v="2"/>
    <x v="317"/>
    <n v="5"/>
    <x v="2"/>
    <x v="0"/>
    <n v="279.89999999999998"/>
  </r>
  <r>
    <x v="318"/>
    <x v="277"/>
    <x v="318"/>
    <x v="3"/>
    <x v="4"/>
    <n v="148.72"/>
    <x v="186"/>
    <x v="0"/>
    <x v="1"/>
    <x v="318"/>
    <n v="7"/>
    <x v="0"/>
    <x v="4"/>
    <n v="446.16"/>
  </r>
  <r>
    <x v="319"/>
    <x v="278"/>
    <x v="319"/>
    <x v="5"/>
    <x v="1"/>
    <n v="563.05999999999995"/>
    <x v="269"/>
    <x v="4"/>
    <x v="2"/>
    <x v="319"/>
    <n v="6"/>
    <x v="2"/>
    <x v="0"/>
    <n v="1126.1199999999999"/>
  </r>
  <r>
    <x v="320"/>
    <x v="36"/>
    <x v="320"/>
    <x v="4"/>
    <x v="2"/>
    <n v="625.51"/>
    <x v="270"/>
    <x v="2"/>
    <x v="0"/>
    <x v="320"/>
    <n v="1"/>
    <x v="1"/>
    <x v="3"/>
    <n v="625.51"/>
  </r>
  <r>
    <x v="321"/>
    <x v="279"/>
    <x v="321"/>
    <x v="1"/>
    <x v="3"/>
    <n v="152.29"/>
    <x v="260"/>
    <x v="0"/>
    <x v="1"/>
    <x v="321"/>
    <n v="6"/>
    <x v="3"/>
    <x v="4"/>
    <n v="609.16"/>
  </r>
  <r>
    <x v="322"/>
    <x v="280"/>
    <x v="322"/>
    <x v="1"/>
    <x v="0"/>
    <n v="231.82"/>
    <x v="268"/>
    <x v="0"/>
    <x v="3"/>
    <x v="322"/>
    <n v="6"/>
    <x v="0"/>
    <x v="3"/>
    <n v="1159.0999999999999"/>
  </r>
  <r>
    <x v="323"/>
    <x v="281"/>
    <x v="323"/>
    <x v="5"/>
    <x v="2"/>
    <n v="150.16999999999999"/>
    <x v="271"/>
    <x v="0"/>
    <x v="2"/>
    <x v="323"/>
    <n v="1"/>
    <x v="0"/>
    <x v="1"/>
    <n v="150.16999999999999"/>
  </r>
  <r>
    <x v="324"/>
    <x v="136"/>
    <x v="324"/>
    <x v="2"/>
    <x v="4"/>
    <n v="70.930000000000007"/>
    <x v="272"/>
    <x v="0"/>
    <x v="2"/>
    <x v="324"/>
    <n v="5"/>
    <x v="2"/>
    <x v="1"/>
    <n v="212.79"/>
  </r>
  <r>
    <x v="325"/>
    <x v="282"/>
    <x v="325"/>
    <x v="6"/>
    <x v="4"/>
    <n v="361.39"/>
    <x v="273"/>
    <x v="2"/>
    <x v="0"/>
    <x v="325"/>
    <n v="8"/>
    <x v="2"/>
    <x v="1"/>
    <n v="1084.17"/>
  </r>
  <r>
    <x v="326"/>
    <x v="283"/>
    <x v="326"/>
    <x v="5"/>
    <x v="0"/>
    <n v="670.48"/>
    <x v="19"/>
    <x v="3"/>
    <x v="2"/>
    <x v="326"/>
    <n v="5"/>
    <x v="0"/>
    <x v="3"/>
    <n v="3352.4"/>
  </r>
  <r>
    <x v="327"/>
    <x v="284"/>
    <x v="327"/>
    <x v="1"/>
    <x v="2"/>
    <n v="359.99"/>
    <x v="61"/>
    <x v="3"/>
    <x v="1"/>
    <x v="327"/>
    <n v="5"/>
    <x v="0"/>
    <x v="2"/>
    <n v="359.99"/>
  </r>
  <r>
    <x v="328"/>
    <x v="285"/>
    <x v="328"/>
    <x v="2"/>
    <x v="0"/>
    <n v="674.04"/>
    <x v="274"/>
    <x v="1"/>
    <x v="1"/>
    <x v="328"/>
    <n v="7"/>
    <x v="0"/>
    <x v="4"/>
    <n v="3370.2"/>
  </r>
  <r>
    <x v="329"/>
    <x v="286"/>
    <x v="329"/>
    <x v="3"/>
    <x v="3"/>
    <n v="283.16000000000003"/>
    <x v="212"/>
    <x v="2"/>
    <x v="0"/>
    <x v="329"/>
    <n v="6"/>
    <x v="2"/>
    <x v="4"/>
    <n v="1132.6400000000001"/>
  </r>
  <r>
    <x v="330"/>
    <x v="287"/>
    <x v="330"/>
    <x v="6"/>
    <x v="0"/>
    <n v="260.52999999999997"/>
    <x v="275"/>
    <x v="3"/>
    <x v="4"/>
    <x v="330"/>
    <n v="5"/>
    <x v="0"/>
    <x v="0"/>
    <n v="1302.6500000000001"/>
  </r>
  <r>
    <x v="331"/>
    <x v="288"/>
    <x v="331"/>
    <x v="4"/>
    <x v="4"/>
    <n v="422.13"/>
    <x v="112"/>
    <x v="1"/>
    <x v="3"/>
    <x v="331"/>
    <n v="7"/>
    <x v="0"/>
    <x v="3"/>
    <n v="1266.3900000000001"/>
  </r>
  <r>
    <x v="332"/>
    <x v="289"/>
    <x v="332"/>
    <x v="6"/>
    <x v="0"/>
    <n v="125.02"/>
    <x v="276"/>
    <x v="0"/>
    <x v="4"/>
    <x v="332"/>
    <n v="9"/>
    <x v="0"/>
    <x v="4"/>
    <n v="625.1"/>
  </r>
  <r>
    <x v="333"/>
    <x v="162"/>
    <x v="333"/>
    <x v="1"/>
    <x v="2"/>
    <n v="198.51"/>
    <x v="277"/>
    <x v="2"/>
    <x v="2"/>
    <x v="333"/>
    <n v="5"/>
    <x v="3"/>
    <x v="0"/>
    <n v="198.51"/>
  </r>
  <r>
    <x v="334"/>
    <x v="290"/>
    <x v="334"/>
    <x v="3"/>
    <x v="3"/>
    <n v="224.75"/>
    <x v="278"/>
    <x v="1"/>
    <x v="3"/>
    <x v="334"/>
    <n v="7"/>
    <x v="3"/>
    <x v="3"/>
    <n v="899"/>
  </r>
  <r>
    <x v="335"/>
    <x v="291"/>
    <x v="335"/>
    <x v="2"/>
    <x v="4"/>
    <n v="205.86"/>
    <x v="264"/>
    <x v="3"/>
    <x v="0"/>
    <x v="335"/>
    <n v="4"/>
    <x v="2"/>
    <x v="2"/>
    <n v="617.58000000000004"/>
  </r>
  <r>
    <x v="336"/>
    <x v="10"/>
    <x v="336"/>
    <x v="5"/>
    <x v="2"/>
    <n v="18.2"/>
    <x v="279"/>
    <x v="0"/>
    <x v="4"/>
    <x v="336"/>
    <n v="4"/>
    <x v="0"/>
    <x v="0"/>
    <n v="18.2"/>
  </r>
  <r>
    <x v="337"/>
    <x v="292"/>
    <x v="337"/>
    <x v="2"/>
    <x v="4"/>
    <n v="502.77"/>
    <x v="280"/>
    <x v="0"/>
    <x v="2"/>
    <x v="337"/>
    <n v="8"/>
    <x v="3"/>
    <x v="2"/>
    <n v="1508.31"/>
  </r>
  <r>
    <x v="338"/>
    <x v="293"/>
    <x v="338"/>
    <x v="1"/>
    <x v="0"/>
    <n v="305.49"/>
    <x v="281"/>
    <x v="0"/>
    <x v="0"/>
    <x v="338"/>
    <n v="10"/>
    <x v="2"/>
    <x v="1"/>
    <n v="1527.45"/>
  </r>
  <r>
    <x v="339"/>
    <x v="294"/>
    <x v="339"/>
    <x v="4"/>
    <x v="1"/>
    <n v="236.33"/>
    <x v="282"/>
    <x v="1"/>
    <x v="4"/>
    <x v="339"/>
    <n v="3"/>
    <x v="0"/>
    <x v="0"/>
    <n v="472.66"/>
  </r>
  <r>
    <x v="340"/>
    <x v="295"/>
    <x v="340"/>
    <x v="5"/>
    <x v="0"/>
    <n v="521.25"/>
    <x v="283"/>
    <x v="4"/>
    <x v="1"/>
    <x v="340"/>
    <n v="8"/>
    <x v="2"/>
    <x v="2"/>
    <n v="2606.25"/>
  </r>
  <r>
    <x v="341"/>
    <x v="296"/>
    <x v="341"/>
    <x v="2"/>
    <x v="2"/>
    <n v="167.15"/>
    <x v="284"/>
    <x v="3"/>
    <x v="0"/>
    <x v="341"/>
    <n v="5"/>
    <x v="3"/>
    <x v="2"/>
    <n v="167.15"/>
  </r>
  <r>
    <x v="342"/>
    <x v="53"/>
    <x v="342"/>
    <x v="0"/>
    <x v="0"/>
    <n v="466.42"/>
    <x v="285"/>
    <x v="3"/>
    <x v="2"/>
    <x v="342"/>
    <n v="5"/>
    <x v="2"/>
    <x v="1"/>
    <n v="2332.1"/>
  </r>
  <r>
    <x v="343"/>
    <x v="297"/>
    <x v="343"/>
    <x v="4"/>
    <x v="2"/>
    <n v="527.57000000000005"/>
    <x v="286"/>
    <x v="0"/>
    <x v="4"/>
    <x v="343"/>
    <n v="3"/>
    <x v="1"/>
    <x v="3"/>
    <n v="527.57000000000005"/>
  </r>
  <r>
    <x v="344"/>
    <x v="298"/>
    <x v="344"/>
    <x v="2"/>
    <x v="4"/>
    <n v="623.34"/>
    <x v="287"/>
    <x v="1"/>
    <x v="1"/>
    <x v="344"/>
    <n v="3"/>
    <x v="0"/>
    <x v="0"/>
    <n v="1870.02"/>
  </r>
  <r>
    <x v="345"/>
    <x v="173"/>
    <x v="345"/>
    <x v="2"/>
    <x v="0"/>
    <n v="501.26"/>
    <x v="288"/>
    <x v="3"/>
    <x v="0"/>
    <x v="345"/>
    <n v="10"/>
    <x v="1"/>
    <x v="1"/>
    <n v="2506.3000000000002"/>
  </r>
  <r>
    <x v="346"/>
    <x v="299"/>
    <x v="346"/>
    <x v="2"/>
    <x v="2"/>
    <n v="655.09"/>
    <x v="289"/>
    <x v="4"/>
    <x v="4"/>
    <x v="346"/>
    <n v="6"/>
    <x v="2"/>
    <x v="1"/>
    <n v="655.09"/>
  </r>
  <r>
    <x v="347"/>
    <x v="300"/>
    <x v="347"/>
    <x v="4"/>
    <x v="3"/>
    <n v="264.79000000000002"/>
    <x v="290"/>
    <x v="2"/>
    <x v="4"/>
    <x v="347"/>
    <n v="5"/>
    <x v="0"/>
    <x v="4"/>
    <n v="1059.1600000000001"/>
  </r>
  <r>
    <x v="348"/>
    <x v="206"/>
    <x v="348"/>
    <x v="5"/>
    <x v="4"/>
    <n v="359.73"/>
    <x v="291"/>
    <x v="0"/>
    <x v="2"/>
    <x v="348"/>
    <n v="7"/>
    <x v="1"/>
    <x v="2"/>
    <n v="1079.19"/>
  </r>
  <r>
    <x v="349"/>
    <x v="115"/>
    <x v="349"/>
    <x v="3"/>
    <x v="2"/>
    <n v="465.33"/>
    <x v="292"/>
    <x v="3"/>
    <x v="3"/>
    <x v="349"/>
    <n v="2"/>
    <x v="1"/>
    <x v="4"/>
    <n v="465.33"/>
  </r>
  <r>
    <x v="350"/>
    <x v="301"/>
    <x v="350"/>
    <x v="3"/>
    <x v="1"/>
    <n v="54.41"/>
    <x v="293"/>
    <x v="1"/>
    <x v="0"/>
    <x v="350"/>
    <n v="6"/>
    <x v="2"/>
    <x v="0"/>
    <n v="108.82"/>
  </r>
  <r>
    <x v="351"/>
    <x v="302"/>
    <x v="351"/>
    <x v="5"/>
    <x v="2"/>
    <n v="64.66"/>
    <x v="294"/>
    <x v="0"/>
    <x v="3"/>
    <x v="351"/>
    <n v="4"/>
    <x v="2"/>
    <x v="0"/>
    <n v="64.66"/>
  </r>
  <r>
    <x v="352"/>
    <x v="303"/>
    <x v="352"/>
    <x v="3"/>
    <x v="0"/>
    <n v="173.96"/>
    <x v="295"/>
    <x v="0"/>
    <x v="4"/>
    <x v="352"/>
    <n v="8"/>
    <x v="3"/>
    <x v="0"/>
    <n v="869.80000000000007"/>
  </r>
  <r>
    <x v="353"/>
    <x v="210"/>
    <x v="353"/>
    <x v="2"/>
    <x v="2"/>
    <n v="630.82000000000005"/>
    <x v="296"/>
    <x v="1"/>
    <x v="3"/>
    <x v="353"/>
    <n v="5"/>
    <x v="1"/>
    <x v="4"/>
    <n v="630.82000000000005"/>
  </r>
  <r>
    <x v="354"/>
    <x v="304"/>
    <x v="354"/>
    <x v="1"/>
    <x v="2"/>
    <n v="693.41"/>
    <x v="297"/>
    <x v="0"/>
    <x v="0"/>
    <x v="354"/>
    <n v="4"/>
    <x v="2"/>
    <x v="0"/>
    <n v="693.41"/>
  </r>
  <r>
    <x v="355"/>
    <x v="305"/>
    <x v="355"/>
    <x v="2"/>
    <x v="4"/>
    <n v="433.33"/>
    <x v="298"/>
    <x v="2"/>
    <x v="1"/>
    <x v="355"/>
    <n v="4"/>
    <x v="1"/>
    <x v="1"/>
    <n v="1299.99"/>
  </r>
  <r>
    <x v="356"/>
    <x v="306"/>
    <x v="356"/>
    <x v="4"/>
    <x v="0"/>
    <n v="374.58"/>
    <x v="299"/>
    <x v="3"/>
    <x v="1"/>
    <x v="356"/>
    <n v="10"/>
    <x v="1"/>
    <x v="0"/>
    <n v="1872.9"/>
  </r>
  <r>
    <x v="357"/>
    <x v="307"/>
    <x v="357"/>
    <x v="5"/>
    <x v="0"/>
    <n v="408.56"/>
    <x v="282"/>
    <x v="0"/>
    <x v="3"/>
    <x v="357"/>
    <n v="8"/>
    <x v="1"/>
    <x v="0"/>
    <n v="2042.8"/>
  </r>
  <r>
    <x v="358"/>
    <x v="158"/>
    <x v="358"/>
    <x v="2"/>
    <x v="1"/>
    <n v="183.67"/>
    <x v="300"/>
    <x v="1"/>
    <x v="1"/>
    <x v="358"/>
    <n v="3"/>
    <x v="0"/>
    <x v="4"/>
    <n v="367.34"/>
  </r>
  <r>
    <x v="359"/>
    <x v="308"/>
    <x v="359"/>
    <x v="6"/>
    <x v="3"/>
    <n v="606.57000000000005"/>
    <x v="301"/>
    <x v="0"/>
    <x v="3"/>
    <x v="359"/>
    <n v="5"/>
    <x v="3"/>
    <x v="1"/>
    <n v="2426.2800000000002"/>
  </r>
  <r>
    <x v="360"/>
    <x v="309"/>
    <x v="360"/>
    <x v="1"/>
    <x v="3"/>
    <n v="589.57000000000005"/>
    <x v="302"/>
    <x v="4"/>
    <x v="4"/>
    <x v="360"/>
    <n v="8"/>
    <x v="2"/>
    <x v="0"/>
    <n v="2358.2800000000002"/>
  </r>
  <r>
    <x v="361"/>
    <x v="310"/>
    <x v="361"/>
    <x v="4"/>
    <x v="0"/>
    <n v="659.85"/>
    <x v="303"/>
    <x v="2"/>
    <x v="3"/>
    <x v="361"/>
    <n v="9"/>
    <x v="0"/>
    <x v="3"/>
    <n v="3299.25"/>
  </r>
  <r>
    <x v="362"/>
    <x v="78"/>
    <x v="362"/>
    <x v="0"/>
    <x v="3"/>
    <n v="206.84"/>
    <x v="304"/>
    <x v="4"/>
    <x v="1"/>
    <x v="362"/>
    <n v="5"/>
    <x v="3"/>
    <x v="0"/>
    <n v="827.36"/>
  </r>
  <r>
    <x v="363"/>
    <x v="75"/>
    <x v="363"/>
    <x v="5"/>
    <x v="0"/>
    <n v="113.87"/>
    <x v="42"/>
    <x v="2"/>
    <x v="4"/>
    <x v="363"/>
    <n v="6"/>
    <x v="0"/>
    <x v="2"/>
    <n v="569.35"/>
  </r>
  <r>
    <x v="364"/>
    <x v="254"/>
    <x v="364"/>
    <x v="1"/>
    <x v="0"/>
    <n v="628.74"/>
    <x v="240"/>
    <x v="4"/>
    <x v="1"/>
    <x v="364"/>
    <n v="9"/>
    <x v="1"/>
    <x v="3"/>
    <n v="3143.7"/>
  </r>
  <r>
    <x v="365"/>
    <x v="311"/>
    <x v="365"/>
    <x v="1"/>
    <x v="2"/>
    <n v="678.38"/>
    <x v="276"/>
    <x v="2"/>
    <x v="1"/>
    <x v="365"/>
    <n v="4"/>
    <x v="0"/>
    <x v="1"/>
    <n v="678.38"/>
  </r>
  <r>
    <x v="366"/>
    <x v="312"/>
    <x v="366"/>
    <x v="4"/>
    <x v="4"/>
    <n v="602.24"/>
    <x v="305"/>
    <x v="0"/>
    <x v="4"/>
    <x v="366"/>
    <n v="8"/>
    <x v="2"/>
    <x v="1"/>
    <n v="1806.72"/>
  </r>
  <r>
    <x v="367"/>
    <x v="313"/>
    <x v="367"/>
    <x v="5"/>
    <x v="0"/>
    <n v="658.77"/>
    <x v="220"/>
    <x v="3"/>
    <x v="4"/>
    <x v="367"/>
    <n v="10"/>
    <x v="1"/>
    <x v="0"/>
    <n v="3293.85"/>
  </r>
  <r>
    <x v="368"/>
    <x v="31"/>
    <x v="368"/>
    <x v="0"/>
    <x v="4"/>
    <n v="271.02"/>
    <x v="306"/>
    <x v="2"/>
    <x v="1"/>
    <x v="368"/>
    <n v="6"/>
    <x v="2"/>
    <x v="4"/>
    <n v="813.06"/>
  </r>
  <r>
    <x v="369"/>
    <x v="70"/>
    <x v="369"/>
    <x v="0"/>
    <x v="0"/>
    <n v="375.25"/>
    <x v="307"/>
    <x v="3"/>
    <x v="4"/>
    <x v="369"/>
    <n v="9"/>
    <x v="0"/>
    <x v="2"/>
    <n v="1876.25"/>
  </r>
  <r>
    <x v="370"/>
    <x v="120"/>
    <x v="370"/>
    <x v="1"/>
    <x v="2"/>
    <n v="312.11"/>
    <x v="308"/>
    <x v="1"/>
    <x v="1"/>
    <x v="370"/>
    <n v="4"/>
    <x v="3"/>
    <x v="3"/>
    <n v="312.11"/>
  </r>
  <r>
    <x v="371"/>
    <x v="314"/>
    <x v="371"/>
    <x v="1"/>
    <x v="0"/>
    <n v="307.76"/>
    <x v="12"/>
    <x v="3"/>
    <x v="4"/>
    <x v="371"/>
    <n v="9"/>
    <x v="1"/>
    <x v="4"/>
    <n v="1538.8"/>
  </r>
  <r>
    <x v="372"/>
    <x v="311"/>
    <x v="372"/>
    <x v="3"/>
    <x v="4"/>
    <n v="483.53"/>
    <x v="309"/>
    <x v="4"/>
    <x v="2"/>
    <x v="372"/>
    <n v="4"/>
    <x v="2"/>
    <x v="1"/>
    <n v="1450.59"/>
  </r>
  <r>
    <x v="373"/>
    <x v="315"/>
    <x v="373"/>
    <x v="5"/>
    <x v="4"/>
    <n v="341.15"/>
    <x v="310"/>
    <x v="4"/>
    <x v="4"/>
    <x v="373"/>
    <n v="4"/>
    <x v="1"/>
    <x v="0"/>
    <n v="1023.45"/>
  </r>
  <r>
    <x v="374"/>
    <x v="316"/>
    <x v="374"/>
    <x v="0"/>
    <x v="2"/>
    <n v="571.9"/>
    <x v="67"/>
    <x v="3"/>
    <x v="4"/>
    <x v="374"/>
    <n v="1"/>
    <x v="3"/>
    <x v="0"/>
    <n v="571.9"/>
  </r>
  <r>
    <x v="375"/>
    <x v="317"/>
    <x v="375"/>
    <x v="0"/>
    <x v="3"/>
    <n v="95.03"/>
    <x v="311"/>
    <x v="1"/>
    <x v="0"/>
    <x v="375"/>
    <n v="8"/>
    <x v="1"/>
    <x v="3"/>
    <n v="380.12"/>
  </r>
  <r>
    <x v="376"/>
    <x v="318"/>
    <x v="376"/>
    <x v="0"/>
    <x v="0"/>
    <n v="201.22"/>
    <x v="312"/>
    <x v="0"/>
    <x v="4"/>
    <x v="376"/>
    <n v="6"/>
    <x v="1"/>
    <x v="3"/>
    <n v="1006.1"/>
  </r>
  <r>
    <x v="377"/>
    <x v="319"/>
    <x v="377"/>
    <x v="0"/>
    <x v="2"/>
    <n v="260.26"/>
    <x v="261"/>
    <x v="1"/>
    <x v="4"/>
    <x v="377"/>
    <n v="5"/>
    <x v="3"/>
    <x v="0"/>
    <n v="260.26"/>
  </r>
  <r>
    <x v="378"/>
    <x v="320"/>
    <x v="378"/>
    <x v="3"/>
    <x v="0"/>
    <n v="64.5"/>
    <x v="313"/>
    <x v="2"/>
    <x v="4"/>
    <x v="378"/>
    <n v="8"/>
    <x v="3"/>
    <x v="0"/>
    <n v="322.5"/>
  </r>
  <r>
    <x v="379"/>
    <x v="321"/>
    <x v="379"/>
    <x v="1"/>
    <x v="4"/>
    <n v="297.67"/>
    <x v="161"/>
    <x v="1"/>
    <x v="0"/>
    <x v="379"/>
    <n v="6"/>
    <x v="2"/>
    <x v="4"/>
    <n v="893.01"/>
  </r>
  <r>
    <x v="380"/>
    <x v="322"/>
    <x v="380"/>
    <x v="4"/>
    <x v="3"/>
    <n v="331.9"/>
    <x v="230"/>
    <x v="4"/>
    <x v="4"/>
    <x v="380"/>
    <n v="5"/>
    <x v="0"/>
    <x v="0"/>
    <n v="1327.6"/>
  </r>
  <r>
    <x v="381"/>
    <x v="323"/>
    <x v="381"/>
    <x v="3"/>
    <x v="2"/>
    <n v="191.76"/>
    <x v="44"/>
    <x v="2"/>
    <x v="2"/>
    <x v="381"/>
    <n v="1"/>
    <x v="1"/>
    <x v="0"/>
    <n v="191.76"/>
  </r>
  <r>
    <x v="382"/>
    <x v="324"/>
    <x v="382"/>
    <x v="4"/>
    <x v="3"/>
    <n v="263.08999999999997"/>
    <x v="314"/>
    <x v="0"/>
    <x v="0"/>
    <x v="382"/>
    <n v="8"/>
    <x v="0"/>
    <x v="4"/>
    <n v="1052.3599999999999"/>
  </r>
  <r>
    <x v="383"/>
    <x v="325"/>
    <x v="383"/>
    <x v="3"/>
    <x v="3"/>
    <n v="393.8"/>
    <x v="87"/>
    <x v="2"/>
    <x v="4"/>
    <x v="383"/>
    <n v="7"/>
    <x v="0"/>
    <x v="2"/>
    <n v="1575.2"/>
  </r>
  <r>
    <x v="384"/>
    <x v="167"/>
    <x v="384"/>
    <x v="3"/>
    <x v="4"/>
    <n v="553.57000000000005"/>
    <x v="315"/>
    <x v="2"/>
    <x v="2"/>
    <x v="384"/>
    <n v="4"/>
    <x v="1"/>
    <x v="3"/>
    <n v="1660.71"/>
  </r>
  <r>
    <x v="385"/>
    <x v="150"/>
    <x v="385"/>
    <x v="3"/>
    <x v="0"/>
    <n v="191.63"/>
    <x v="60"/>
    <x v="3"/>
    <x v="3"/>
    <x v="385"/>
    <n v="6"/>
    <x v="1"/>
    <x v="3"/>
    <n v="958.15"/>
  </r>
  <r>
    <x v="386"/>
    <x v="200"/>
    <x v="386"/>
    <x v="2"/>
    <x v="2"/>
    <n v="93.02"/>
    <x v="316"/>
    <x v="1"/>
    <x v="2"/>
    <x v="386"/>
    <n v="4"/>
    <x v="2"/>
    <x v="2"/>
    <n v="93.02"/>
  </r>
  <r>
    <x v="387"/>
    <x v="326"/>
    <x v="387"/>
    <x v="4"/>
    <x v="1"/>
    <n v="39.53"/>
    <x v="8"/>
    <x v="2"/>
    <x v="0"/>
    <x v="387"/>
    <n v="3"/>
    <x v="3"/>
    <x v="4"/>
    <n v="79.06"/>
  </r>
  <r>
    <x v="388"/>
    <x v="153"/>
    <x v="388"/>
    <x v="4"/>
    <x v="4"/>
    <n v="633.97"/>
    <x v="94"/>
    <x v="4"/>
    <x v="4"/>
    <x v="388"/>
    <n v="7"/>
    <x v="3"/>
    <x v="3"/>
    <n v="1901.91"/>
  </r>
  <r>
    <x v="389"/>
    <x v="327"/>
    <x v="389"/>
    <x v="6"/>
    <x v="3"/>
    <n v="697.5"/>
    <x v="317"/>
    <x v="4"/>
    <x v="0"/>
    <x v="389"/>
    <n v="7"/>
    <x v="1"/>
    <x v="1"/>
    <n v="2790"/>
  </r>
  <r>
    <x v="390"/>
    <x v="328"/>
    <x v="390"/>
    <x v="4"/>
    <x v="0"/>
    <n v="508.69"/>
    <x v="291"/>
    <x v="4"/>
    <x v="3"/>
    <x v="390"/>
    <n v="10"/>
    <x v="1"/>
    <x v="4"/>
    <n v="2543.4499999999998"/>
  </r>
  <r>
    <x v="391"/>
    <x v="317"/>
    <x v="391"/>
    <x v="5"/>
    <x v="1"/>
    <n v="527.46"/>
    <x v="244"/>
    <x v="0"/>
    <x v="1"/>
    <x v="391"/>
    <n v="3"/>
    <x v="1"/>
    <x v="1"/>
    <n v="1054.92"/>
  </r>
  <r>
    <x v="392"/>
    <x v="329"/>
    <x v="392"/>
    <x v="1"/>
    <x v="2"/>
    <n v="627.20000000000005"/>
    <x v="303"/>
    <x v="1"/>
    <x v="3"/>
    <x v="392"/>
    <n v="1"/>
    <x v="3"/>
    <x v="2"/>
    <n v="627.20000000000005"/>
  </r>
  <r>
    <x v="393"/>
    <x v="330"/>
    <x v="393"/>
    <x v="4"/>
    <x v="2"/>
    <n v="75.010000000000005"/>
    <x v="318"/>
    <x v="2"/>
    <x v="2"/>
    <x v="393"/>
    <n v="3"/>
    <x v="2"/>
    <x v="4"/>
    <n v="75.010000000000005"/>
  </r>
  <r>
    <x v="394"/>
    <x v="176"/>
    <x v="394"/>
    <x v="6"/>
    <x v="0"/>
    <n v="529.54999999999995"/>
    <x v="319"/>
    <x v="3"/>
    <x v="0"/>
    <x v="394"/>
    <n v="10"/>
    <x v="2"/>
    <x v="3"/>
    <n v="2647.75"/>
  </r>
  <r>
    <x v="395"/>
    <x v="331"/>
    <x v="395"/>
    <x v="1"/>
    <x v="4"/>
    <n v="127.41"/>
    <x v="32"/>
    <x v="3"/>
    <x v="3"/>
    <x v="395"/>
    <n v="7"/>
    <x v="0"/>
    <x v="1"/>
    <n v="382.23"/>
  </r>
  <r>
    <x v="396"/>
    <x v="142"/>
    <x v="396"/>
    <x v="2"/>
    <x v="0"/>
    <n v="287.13"/>
    <x v="320"/>
    <x v="1"/>
    <x v="0"/>
    <x v="396"/>
    <n v="10"/>
    <x v="0"/>
    <x v="2"/>
    <n v="1435.65"/>
  </r>
  <r>
    <x v="397"/>
    <x v="332"/>
    <x v="397"/>
    <x v="0"/>
    <x v="2"/>
    <n v="427.06"/>
    <x v="321"/>
    <x v="1"/>
    <x v="1"/>
    <x v="397"/>
    <n v="1"/>
    <x v="3"/>
    <x v="1"/>
    <n v="427.06"/>
  </r>
  <r>
    <x v="398"/>
    <x v="333"/>
    <x v="398"/>
    <x v="1"/>
    <x v="0"/>
    <n v="53.93"/>
    <x v="182"/>
    <x v="3"/>
    <x v="0"/>
    <x v="398"/>
    <n v="7"/>
    <x v="0"/>
    <x v="0"/>
    <n v="269.64999999999998"/>
  </r>
  <r>
    <x v="399"/>
    <x v="334"/>
    <x v="399"/>
    <x v="2"/>
    <x v="0"/>
    <n v="423.93"/>
    <x v="322"/>
    <x v="0"/>
    <x v="2"/>
    <x v="399"/>
    <n v="5"/>
    <x v="1"/>
    <x v="3"/>
    <n v="2119.65"/>
  </r>
  <r>
    <x v="400"/>
    <x v="335"/>
    <x v="400"/>
    <x v="6"/>
    <x v="3"/>
    <n v="160.22"/>
    <x v="323"/>
    <x v="0"/>
    <x v="2"/>
    <x v="400"/>
    <n v="9"/>
    <x v="3"/>
    <x v="0"/>
    <n v="640.88"/>
  </r>
  <r>
    <x v="401"/>
    <x v="23"/>
    <x v="401"/>
    <x v="4"/>
    <x v="2"/>
    <n v="538.67999999999995"/>
    <x v="303"/>
    <x v="0"/>
    <x v="2"/>
    <x v="401"/>
    <n v="6"/>
    <x v="2"/>
    <x v="1"/>
    <n v="538.67999999999995"/>
  </r>
  <r>
    <x v="402"/>
    <x v="336"/>
    <x v="402"/>
    <x v="4"/>
    <x v="0"/>
    <n v="337.38"/>
    <x v="324"/>
    <x v="3"/>
    <x v="0"/>
    <x v="402"/>
    <n v="5"/>
    <x v="2"/>
    <x v="1"/>
    <n v="1686.9"/>
  </r>
  <r>
    <x v="403"/>
    <x v="337"/>
    <x v="403"/>
    <x v="2"/>
    <x v="2"/>
    <n v="620.21"/>
    <x v="240"/>
    <x v="1"/>
    <x v="2"/>
    <x v="403"/>
    <n v="1"/>
    <x v="1"/>
    <x v="1"/>
    <n v="620.21"/>
  </r>
  <r>
    <x v="404"/>
    <x v="338"/>
    <x v="404"/>
    <x v="0"/>
    <x v="1"/>
    <n v="99.1"/>
    <x v="63"/>
    <x v="4"/>
    <x v="3"/>
    <x v="404"/>
    <n v="6"/>
    <x v="2"/>
    <x v="0"/>
    <n v="198.2"/>
  </r>
  <r>
    <x v="405"/>
    <x v="281"/>
    <x v="405"/>
    <x v="0"/>
    <x v="3"/>
    <n v="451.97"/>
    <x v="305"/>
    <x v="1"/>
    <x v="1"/>
    <x v="405"/>
    <n v="7"/>
    <x v="3"/>
    <x v="2"/>
    <n v="1807.88"/>
  </r>
  <r>
    <x v="406"/>
    <x v="339"/>
    <x v="406"/>
    <x v="2"/>
    <x v="3"/>
    <n v="66.099999999999994"/>
    <x v="167"/>
    <x v="4"/>
    <x v="2"/>
    <x v="406"/>
    <n v="9"/>
    <x v="3"/>
    <x v="4"/>
    <n v="264.39999999999998"/>
  </r>
  <r>
    <x v="407"/>
    <x v="340"/>
    <x v="407"/>
    <x v="2"/>
    <x v="3"/>
    <n v="547.32000000000005"/>
    <x v="224"/>
    <x v="4"/>
    <x v="2"/>
    <x v="407"/>
    <n v="8"/>
    <x v="1"/>
    <x v="0"/>
    <n v="2189.2800000000002"/>
  </r>
  <r>
    <x v="408"/>
    <x v="341"/>
    <x v="408"/>
    <x v="4"/>
    <x v="4"/>
    <n v="412.53"/>
    <x v="325"/>
    <x v="1"/>
    <x v="4"/>
    <x v="408"/>
    <n v="6"/>
    <x v="3"/>
    <x v="4"/>
    <n v="1237.5899999999999"/>
  </r>
  <r>
    <x v="409"/>
    <x v="342"/>
    <x v="409"/>
    <x v="6"/>
    <x v="0"/>
    <n v="84.13"/>
    <x v="326"/>
    <x v="1"/>
    <x v="3"/>
    <x v="409"/>
    <n v="9"/>
    <x v="0"/>
    <x v="4"/>
    <n v="420.65"/>
  </r>
  <r>
    <x v="410"/>
    <x v="343"/>
    <x v="410"/>
    <x v="2"/>
    <x v="1"/>
    <n v="518.23"/>
    <x v="327"/>
    <x v="0"/>
    <x v="0"/>
    <x v="410"/>
    <n v="5"/>
    <x v="2"/>
    <x v="2"/>
    <n v="1036.46"/>
  </r>
  <r>
    <x v="411"/>
    <x v="83"/>
    <x v="411"/>
    <x v="6"/>
    <x v="1"/>
    <n v="39.51"/>
    <x v="139"/>
    <x v="1"/>
    <x v="0"/>
    <x v="411"/>
    <n v="5"/>
    <x v="2"/>
    <x v="3"/>
    <n v="79.02"/>
  </r>
  <r>
    <x v="412"/>
    <x v="344"/>
    <x v="412"/>
    <x v="2"/>
    <x v="0"/>
    <n v="133.01"/>
    <x v="328"/>
    <x v="2"/>
    <x v="2"/>
    <x v="412"/>
    <n v="10"/>
    <x v="2"/>
    <x v="3"/>
    <n v="665.05"/>
  </r>
  <r>
    <x v="413"/>
    <x v="345"/>
    <x v="413"/>
    <x v="2"/>
    <x v="2"/>
    <n v="118.8"/>
    <x v="329"/>
    <x v="1"/>
    <x v="3"/>
    <x v="413"/>
    <n v="6"/>
    <x v="0"/>
    <x v="2"/>
    <n v="118.8"/>
  </r>
  <r>
    <x v="414"/>
    <x v="346"/>
    <x v="414"/>
    <x v="6"/>
    <x v="1"/>
    <n v="139.57"/>
    <x v="330"/>
    <x v="4"/>
    <x v="3"/>
    <x v="414"/>
    <n v="4"/>
    <x v="3"/>
    <x v="3"/>
    <n v="279.14"/>
  </r>
  <r>
    <x v="415"/>
    <x v="161"/>
    <x v="415"/>
    <x v="3"/>
    <x v="2"/>
    <n v="184.15"/>
    <x v="229"/>
    <x v="3"/>
    <x v="0"/>
    <x v="415"/>
    <n v="5"/>
    <x v="1"/>
    <x v="3"/>
    <n v="184.15"/>
  </r>
  <r>
    <x v="416"/>
    <x v="202"/>
    <x v="416"/>
    <x v="5"/>
    <x v="1"/>
    <n v="644.04999999999995"/>
    <x v="331"/>
    <x v="3"/>
    <x v="1"/>
    <x v="416"/>
    <n v="5"/>
    <x v="3"/>
    <x v="1"/>
    <n v="1288.0999999999999"/>
  </r>
  <r>
    <x v="417"/>
    <x v="347"/>
    <x v="417"/>
    <x v="5"/>
    <x v="0"/>
    <n v="55.41"/>
    <x v="332"/>
    <x v="1"/>
    <x v="1"/>
    <x v="417"/>
    <n v="5"/>
    <x v="2"/>
    <x v="4"/>
    <n v="277.05"/>
  </r>
  <r>
    <x v="418"/>
    <x v="348"/>
    <x v="418"/>
    <x v="4"/>
    <x v="2"/>
    <n v="310.93"/>
    <x v="333"/>
    <x v="1"/>
    <x v="1"/>
    <x v="418"/>
    <n v="3"/>
    <x v="2"/>
    <x v="3"/>
    <n v="310.93"/>
  </r>
  <r>
    <x v="419"/>
    <x v="349"/>
    <x v="419"/>
    <x v="2"/>
    <x v="1"/>
    <n v="216.66"/>
    <x v="291"/>
    <x v="0"/>
    <x v="4"/>
    <x v="419"/>
    <n v="6"/>
    <x v="1"/>
    <x v="0"/>
    <n v="433.32"/>
  </r>
  <r>
    <x v="420"/>
    <x v="350"/>
    <x v="420"/>
    <x v="1"/>
    <x v="2"/>
    <n v="452.7"/>
    <x v="334"/>
    <x v="0"/>
    <x v="0"/>
    <x v="420"/>
    <n v="5"/>
    <x v="1"/>
    <x v="0"/>
    <n v="452.7"/>
  </r>
  <r>
    <x v="421"/>
    <x v="3"/>
    <x v="421"/>
    <x v="3"/>
    <x v="1"/>
    <n v="288.20999999999998"/>
    <x v="335"/>
    <x v="0"/>
    <x v="1"/>
    <x v="421"/>
    <n v="5"/>
    <x v="2"/>
    <x v="2"/>
    <n v="576.41999999999996"/>
  </r>
  <r>
    <x v="422"/>
    <x v="32"/>
    <x v="422"/>
    <x v="1"/>
    <x v="3"/>
    <n v="206.6"/>
    <x v="16"/>
    <x v="3"/>
    <x v="2"/>
    <x v="422"/>
    <n v="6"/>
    <x v="3"/>
    <x v="1"/>
    <n v="826.4"/>
  </r>
  <r>
    <x v="423"/>
    <x v="351"/>
    <x v="423"/>
    <x v="4"/>
    <x v="3"/>
    <n v="685.2"/>
    <x v="241"/>
    <x v="3"/>
    <x v="1"/>
    <x v="423"/>
    <n v="6"/>
    <x v="3"/>
    <x v="4"/>
    <n v="2740.8"/>
  </r>
  <r>
    <x v="424"/>
    <x v="352"/>
    <x v="424"/>
    <x v="3"/>
    <x v="0"/>
    <n v="22.94"/>
    <x v="268"/>
    <x v="4"/>
    <x v="4"/>
    <x v="424"/>
    <n v="10"/>
    <x v="2"/>
    <x v="2"/>
    <n v="114.7"/>
  </r>
  <r>
    <x v="425"/>
    <x v="338"/>
    <x v="425"/>
    <x v="5"/>
    <x v="1"/>
    <n v="301.88"/>
    <x v="336"/>
    <x v="3"/>
    <x v="2"/>
    <x v="425"/>
    <n v="5"/>
    <x v="3"/>
    <x v="2"/>
    <n v="603.76"/>
  </r>
  <r>
    <x v="426"/>
    <x v="353"/>
    <x v="426"/>
    <x v="0"/>
    <x v="0"/>
    <n v="57.45"/>
    <x v="337"/>
    <x v="4"/>
    <x v="1"/>
    <x v="426"/>
    <n v="10"/>
    <x v="2"/>
    <x v="3"/>
    <n v="287.25"/>
  </r>
  <r>
    <x v="427"/>
    <x v="144"/>
    <x v="427"/>
    <x v="6"/>
    <x v="2"/>
    <n v="161.24"/>
    <x v="338"/>
    <x v="2"/>
    <x v="4"/>
    <x v="427"/>
    <n v="3"/>
    <x v="3"/>
    <x v="0"/>
    <n v="161.24"/>
  </r>
  <r>
    <x v="428"/>
    <x v="130"/>
    <x v="428"/>
    <x v="3"/>
    <x v="3"/>
    <n v="262.58"/>
    <x v="30"/>
    <x v="1"/>
    <x v="1"/>
    <x v="428"/>
    <n v="8"/>
    <x v="3"/>
    <x v="2"/>
    <n v="1050.32"/>
  </r>
  <r>
    <x v="429"/>
    <x v="36"/>
    <x v="429"/>
    <x v="4"/>
    <x v="3"/>
    <n v="515.19000000000005"/>
    <x v="101"/>
    <x v="2"/>
    <x v="4"/>
    <x v="429"/>
    <n v="9"/>
    <x v="0"/>
    <x v="3"/>
    <n v="2060.7600000000002"/>
  </r>
  <r>
    <x v="430"/>
    <x v="323"/>
    <x v="430"/>
    <x v="1"/>
    <x v="2"/>
    <n v="450.07"/>
    <x v="339"/>
    <x v="3"/>
    <x v="0"/>
    <x v="430"/>
    <n v="6"/>
    <x v="1"/>
    <x v="4"/>
    <n v="450.07"/>
  </r>
  <r>
    <x v="431"/>
    <x v="354"/>
    <x v="431"/>
    <x v="4"/>
    <x v="2"/>
    <n v="52.54"/>
    <x v="143"/>
    <x v="0"/>
    <x v="1"/>
    <x v="431"/>
    <n v="6"/>
    <x v="3"/>
    <x v="3"/>
    <n v="52.54"/>
  </r>
  <r>
    <x v="432"/>
    <x v="355"/>
    <x v="432"/>
    <x v="2"/>
    <x v="1"/>
    <n v="424.32"/>
    <x v="340"/>
    <x v="2"/>
    <x v="2"/>
    <x v="432"/>
    <n v="6"/>
    <x v="2"/>
    <x v="1"/>
    <n v="848.64"/>
  </r>
  <r>
    <x v="433"/>
    <x v="46"/>
    <x v="433"/>
    <x v="0"/>
    <x v="4"/>
    <n v="631.64"/>
    <x v="214"/>
    <x v="2"/>
    <x v="2"/>
    <x v="433"/>
    <n v="3"/>
    <x v="1"/>
    <x v="3"/>
    <n v="1894.92"/>
  </r>
  <r>
    <x v="434"/>
    <x v="356"/>
    <x v="434"/>
    <x v="4"/>
    <x v="0"/>
    <n v="327.68"/>
    <x v="65"/>
    <x v="2"/>
    <x v="2"/>
    <x v="434"/>
    <n v="6"/>
    <x v="2"/>
    <x v="3"/>
    <n v="1638.4"/>
  </r>
  <r>
    <x v="435"/>
    <x v="156"/>
    <x v="435"/>
    <x v="4"/>
    <x v="2"/>
    <n v="414.47"/>
    <x v="267"/>
    <x v="0"/>
    <x v="2"/>
    <x v="435"/>
    <n v="3"/>
    <x v="1"/>
    <x v="0"/>
    <n v="414.47"/>
  </r>
  <r>
    <x v="436"/>
    <x v="91"/>
    <x v="436"/>
    <x v="5"/>
    <x v="3"/>
    <n v="221.33"/>
    <x v="143"/>
    <x v="1"/>
    <x v="4"/>
    <x v="436"/>
    <n v="5"/>
    <x v="2"/>
    <x v="4"/>
    <n v="885.32"/>
  </r>
  <r>
    <x v="437"/>
    <x v="171"/>
    <x v="437"/>
    <x v="1"/>
    <x v="2"/>
    <n v="512.39"/>
    <x v="341"/>
    <x v="1"/>
    <x v="3"/>
    <x v="437"/>
    <n v="2"/>
    <x v="1"/>
    <x v="0"/>
    <n v="512.39"/>
  </r>
  <r>
    <x v="438"/>
    <x v="195"/>
    <x v="438"/>
    <x v="2"/>
    <x v="4"/>
    <n v="459.34"/>
    <x v="342"/>
    <x v="3"/>
    <x v="4"/>
    <x v="438"/>
    <n v="3"/>
    <x v="0"/>
    <x v="0"/>
    <n v="1378.02"/>
  </r>
  <r>
    <x v="439"/>
    <x v="50"/>
    <x v="439"/>
    <x v="2"/>
    <x v="2"/>
    <n v="146.32"/>
    <x v="343"/>
    <x v="1"/>
    <x v="0"/>
    <x v="439"/>
    <n v="4"/>
    <x v="3"/>
    <x v="3"/>
    <n v="146.32"/>
  </r>
  <r>
    <x v="440"/>
    <x v="357"/>
    <x v="440"/>
    <x v="6"/>
    <x v="3"/>
    <n v="83.6"/>
    <x v="264"/>
    <x v="0"/>
    <x v="4"/>
    <x v="440"/>
    <n v="4"/>
    <x v="0"/>
    <x v="3"/>
    <n v="334.4"/>
  </r>
  <r>
    <x v="441"/>
    <x v="141"/>
    <x v="441"/>
    <x v="4"/>
    <x v="1"/>
    <n v="328.54"/>
    <x v="344"/>
    <x v="3"/>
    <x v="2"/>
    <x v="441"/>
    <n v="6"/>
    <x v="1"/>
    <x v="2"/>
    <n v="657.08"/>
  </r>
  <r>
    <x v="442"/>
    <x v="40"/>
    <x v="442"/>
    <x v="3"/>
    <x v="0"/>
    <n v="314.94"/>
    <x v="345"/>
    <x v="4"/>
    <x v="4"/>
    <x v="442"/>
    <n v="8"/>
    <x v="0"/>
    <x v="0"/>
    <n v="1574.7"/>
  </r>
  <r>
    <x v="443"/>
    <x v="358"/>
    <x v="443"/>
    <x v="3"/>
    <x v="1"/>
    <n v="69.64"/>
    <x v="59"/>
    <x v="4"/>
    <x v="2"/>
    <x v="443"/>
    <n v="6"/>
    <x v="2"/>
    <x v="3"/>
    <n v="139.28"/>
  </r>
  <r>
    <x v="444"/>
    <x v="180"/>
    <x v="444"/>
    <x v="4"/>
    <x v="2"/>
    <n v="135.16999999999999"/>
    <x v="346"/>
    <x v="1"/>
    <x v="0"/>
    <x v="444"/>
    <n v="6"/>
    <x v="1"/>
    <x v="0"/>
    <n v="135.16999999999999"/>
  </r>
  <r>
    <x v="445"/>
    <x v="230"/>
    <x v="445"/>
    <x v="1"/>
    <x v="2"/>
    <n v="487.21"/>
    <x v="347"/>
    <x v="4"/>
    <x v="3"/>
    <x v="445"/>
    <n v="3"/>
    <x v="0"/>
    <x v="1"/>
    <n v="487.21"/>
  </r>
  <r>
    <x v="446"/>
    <x v="359"/>
    <x v="446"/>
    <x v="5"/>
    <x v="0"/>
    <n v="509.58"/>
    <x v="348"/>
    <x v="1"/>
    <x v="3"/>
    <x v="446"/>
    <n v="6"/>
    <x v="1"/>
    <x v="0"/>
    <n v="2547.9"/>
  </r>
  <r>
    <x v="447"/>
    <x v="158"/>
    <x v="447"/>
    <x v="4"/>
    <x v="1"/>
    <n v="416.81"/>
    <x v="349"/>
    <x v="4"/>
    <x v="2"/>
    <x v="447"/>
    <n v="2"/>
    <x v="2"/>
    <x v="3"/>
    <n v="833.62"/>
  </r>
  <r>
    <x v="448"/>
    <x v="355"/>
    <x v="448"/>
    <x v="5"/>
    <x v="1"/>
    <n v="160"/>
    <x v="350"/>
    <x v="4"/>
    <x v="4"/>
    <x v="448"/>
    <n v="4"/>
    <x v="0"/>
    <x v="0"/>
    <n v="320"/>
  </r>
  <r>
    <x v="449"/>
    <x v="360"/>
    <x v="449"/>
    <x v="2"/>
    <x v="4"/>
    <n v="253.05"/>
    <x v="351"/>
    <x v="1"/>
    <x v="4"/>
    <x v="449"/>
    <n v="3"/>
    <x v="2"/>
    <x v="0"/>
    <n v="759.15000000000009"/>
  </r>
  <r>
    <x v="450"/>
    <x v="361"/>
    <x v="450"/>
    <x v="0"/>
    <x v="0"/>
    <n v="615.1"/>
    <x v="352"/>
    <x v="3"/>
    <x v="2"/>
    <x v="450"/>
    <n v="10"/>
    <x v="3"/>
    <x v="0"/>
    <n v="3075.5"/>
  </r>
  <r>
    <x v="451"/>
    <x v="362"/>
    <x v="451"/>
    <x v="0"/>
    <x v="2"/>
    <n v="183.18"/>
    <x v="97"/>
    <x v="0"/>
    <x v="1"/>
    <x v="451"/>
    <n v="6"/>
    <x v="0"/>
    <x v="2"/>
    <n v="183.18"/>
  </r>
  <r>
    <x v="452"/>
    <x v="363"/>
    <x v="452"/>
    <x v="4"/>
    <x v="2"/>
    <n v="75.78"/>
    <x v="353"/>
    <x v="4"/>
    <x v="4"/>
    <x v="452"/>
    <n v="5"/>
    <x v="0"/>
    <x v="4"/>
    <n v="75.78"/>
  </r>
  <r>
    <x v="453"/>
    <x v="201"/>
    <x v="453"/>
    <x v="2"/>
    <x v="2"/>
    <n v="675.57"/>
    <x v="354"/>
    <x v="4"/>
    <x v="0"/>
    <x v="453"/>
    <n v="1"/>
    <x v="3"/>
    <x v="3"/>
    <n v="675.57"/>
  </r>
  <r>
    <x v="454"/>
    <x v="364"/>
    <x v="454"/>
    <x v="5"/>
    <x v="2"/>
    <n v="109.29"/>
    <x v="355"/>
    <x v="0"/>
    <x v="1"/>
    <x v="454"/>
    <n v="5"/>
    <x v="1"/>
    <x v="4"/>
    <n v="109.29"/>
  </r>
  <r>
    <x v="455"/>
    <x v="290"/>
    <x v="455"/>
    <x v="1"/>
    <x v="2"/>
    <n v="639.83000000000004"/>
    <x v="356"/>
    <x v="0"/>
    <x v="4"/>
    <x v="455"/>
    <n v="2"/>
    <x v="0"/>
    <x v="1"/>
    <n v="639.83000000000004"/>
  </r>
  <r>
    <x v="456"/>
    <x v="365"/>
    <x v="456"/>
    <x v="6"/>
    <x v="0"/>
    <n v="62.81"/>
    <x v="288"/>
    <x v="2"/>
    <x v="0"/>
    <x v="456"/>
    <n v="9"/>
    <x v="0"/>
    <x v="3"/>
    <n v="314.05"/>
  </r>
  <r>
    <x v="457"/>
    <x v="366"/>
    <x v="457"/>
    <x v="6"/>
    <x v="3"/>
    <n v="615.83000000000004"/>
    <x v="357"/>
    <x v="1"/>
    <x v="2"/>
    <x v="457"/>
    <n v="4"/>
    <x v="3"/>
    <x v="0"/>
    <n v="2463.3200000000002"/>
  </r>
  <r>
    <x v="458"/>
    <x v="367"/>
    <x v="458"/>
    <x v="0"/>
    <x v="3"/>
    <n v="510.58"/>
    <x v="85"/>
    <x v="2"/>
    <x v="2"/>
    <x v="458"/>
    <n v="7"/>
    <x v="3"/>
    <x v="2"/>
    <n v="2042.32"/>
  </r>
  <r>
    <x v="459"/>
    <x v="25"/>
    <x v="459"/>
    <x v="6"/>
    <x v="2"/>
    <n v="334.39"/>
    <x v="339"/>
    <x v="2"/>
    <x v="2"/>
    <x v="459"/>
    <n v="2"/>
    <x v="2"/>
    <x v="0"/>
    <n v="334.39"/>
  </r>
  <r>
    <x v="460"/>
    <x v="354"/>
    <x v="460"/>
    <x v="5"/>
    <x v="2"/>
    <n v="144.25"/>
    <x v="358"/>
    <x v="4"/>
    <x v="2"/>
    <x v="460"/>
    <n v="2"/>
    <x v="3"/>
    <x v="1"/>
    <n v="144.25"/>
  </r>
  <r>
    <x v="461"/>
    <x v="180"/>
    <x v="461"/>
    <x v="2"/>
    <x v="2"/>
    <n v="401.82"/>
    <x v="208"/>
    <x v="2"/>
    <x v="0"/>
    <x v="461"/>
    <n v="5"/>
    <x v="1"/>
    <x v="4"/>
    <n v="401.82"/>
  </r>
  <r>
    <x v="462"/>
    <x v="368"/>
    <x v="462"/>
    <x v="1"/>
    <x v="2"/>
    <n v="252.68"/>
    <x v="359"/>
    <x v="1"/>
    <x v="1"/>
    <x v="462"/>
    <n v="1"/>
    <x v="2"/>
    <x v="1"/>
    <n v="252.68"/>
  </r>
  <r>
    <x v="463"/>
    <x v="68"/>
    <x v="463"/>
    <x v="5"/>
    <x v="0"/>
    <n v="662.78"/>
    <x v="360"/>
    <x v="0"/>
    <x v="0"/>
    <x v="463"/>
    <n v="9"/>
    <x v="0"/>
    <x v="0"/>
    <n v="3313.9"/>
  </r>
  <r>
    <x v="464"/>
    <x v="369"/>
    <x v="464"/>
    <x v="2"/>
    <x v="3"/>
    <n v="434.42"/>
    <x v="361"/>
    <x v="1"/>
    <x v="1"/>
    <x v="464"/>
    <n v="6"/>
    <x v="1"/>
    <x v="4"/>
    <n v="1737.68"/>
  </r>
  <r>
    <x v="465"/>
    <x v="235"/>
    <x v="465"/>
    <x v="4"/>
    <x v="0"/>
    <n v="513.49"/>
    <x v="362"/>
    <x v="3"/>
    <x v="1"/>
    <x v="465"/>
    <n v="8"/>
    <x v="2"/>
    <x v="4"/>
    <n v="2567.4499999999998"/>
  </r>
  <r>
    <x v="466"/>
    <x v="202"/>
    <x v="466"/>
    <x v="1"/>
    <x v="2"/>
    <n v="432.47"/>
    <x v="30"/>
    <x v="4"/>
    <x v="3"/>
    <x v="466"/>
    <n v="4"/>
    <x v="1"/>
    <x v="1"/>
    <n v="432.47"/>
  </r>
  <r>
    <x v="467"/>
    <x v="225"/>
    <x v="467"/>
    <x v="6"/>
    <x v="2"/>
    <n v="45.94"/>
    <x v="167"/>
    <x v="4"/>
    <x v="1"/>
    <x v="467"/>
    <n v="2"/>
    <x v="3"/>
    <x v="2"/>
    <n v="45.94"/>
  </r>
  <r>
    <x v="468"/>
    <x v="370"/>
    <x v="468"/>
    <x v="1"/>
    <x v="2"/>
    <n v="418.36"/>
    <x v="363"/>
    <x v="2"/>
    <x v="3"/>
    <x v="468"/>
    <n v="5"/>
    <x v="1"/>
    <x v="2"/>
    <n v="418.36"/>
  </r>
  <r>
    <x v="469"/>
    <x v="371"/>
    <x v="469"/>
    <x v="3"/>
    <x v="0"/>
    <n v="676.98"/>
    <x v="136"/>
    <x v="4"/>
    <x v="1"/>
    <x v="469"/>
    <n v="5"/>
    <x v="2"/>
    <x v="3"/>
    <n v="3384.9"/>
  </r>
  <r>
    <x v="470"/>
    <x v="372"/>
    <x v="470"/>
    <x v="2"/>
    <x v="3"/>
    <n v="263.62"/>
    <x v="364"/>
    <x v="4"/>
    <x v="0"/>
    <x v="470"/>
    <n v="5"/>
    <x v="0"/>
    <x v="2"/>
    <n v="1054.48"/>
  </r>
  <r>
    <x v="471"/>
    <x v="373"/>
    <x v="471"/>
    <x v="6"/>
    <x v="0"/>
    <n v="551.27"/>
    <x v="365"/>
    <x v="1"/>
    <x v="1"/>
    <x v="471"/>
    <n v="7"/>
    <x v="1"/>
    <x v="1"/>
    <n v="2756.35"/>
  </r>
  <r>
    <x v="472"/>
    <x v="374"/>
    <x v="472"/>
    <x v="3"/>
    <x v="4"/>
    <n v="508.12"/>
    <x v="366"/>
    <x v="2"/>
    <x v="1"/>
    <x v="472"/>
    <n v="8"/>
    <x v="1"/>
    <x v="1"/>
    <n v="1524.36"/>
  </r>
  <r>
    <x v="473"/>
    <x v="86"/>
    <x v="473"/>
    <x v="3"/>
    <x v="1"/>
    <n v="14.93"/>
    <x v="367"/>
    <x v="1"/>
    <x v="0"/>
    <x v="473"/>
    <n v="4"/>
    <x v="2"/>
    <x v="3"/>
    <n v="29.86"/>
  </r>
  <r>
    <x v="474"/>
    <x v="375"/>
    <x v="474"/>
    <x v="4"/>
    <x v="4"/>
    <n v="229.34"/>
    <x v="282"/>
    <x v="2"/>
    <x v="0"/>
    <x v="474"/>
    <n v="6"/>
    <x v="0"/>
    <x v="1"/>
    <n v="688.02"/>
  </r>
  <r>
    <x v="475"/>
    <x v="373"/>
    <x v="475"/>
    <x v="2"/>
    <x v="1"/>
    <n v="438.62"/>
    <x v="368"/>
    <x v="4"/>
    <x v="1"/>
    <x v="475"/>
    <n v="3"/>
    <x v="0"/>
    <x v="3"/>
    <n v="877.24"/>
  </r>
  <r>
    <x v="476"/>
    <x v="361"/>
    <x v="476"/>
    <x v="1"/>
    <x v="1"/>
    <n v="513.59"/>
    <x v="369"/>
    <x v="1"/>
    <x v="2"/>
    <x v="476"/>
    <n v="4"/>
    <x v="1"/>
    <x v="1"/>
    <n v="1027.18"/>
  </r>
  <r>
    <x v="477"/>
    <x v="376"/>
    <x v="477"/>
    <x v="1"/>
    <x v="1"/>
    <n v="253.74"/>
    <x v="370"/>
    <x v="1"/>
    <x v="0"/>
    <x v="477"/>
    <n v="5"/>
    <x v="0"/>
    <x v="4"/>
    <n v="507.48"/>
  </r>
  <r>
    <x v="478"/>
    <x v="377"/>
    <x v="478"/>
    <x v="2"/>
    <x v="4"/>
    <n v="62.77"/>
    <x v="16"/>
    <x v="3"/>
    <x v="0"/>
    <x v="478"/>
    <n v="6"/>
    <x v="1"/>
    <x v="1"/>
    <n v="188.31"/>
  </r>
  <r>
    <x v="479"/>
    <x v="378"/>
    <x v="479"/>
    <x v="0"/>
    <x v="3"/>
    <n v="25.29"/>
    <x v="371"/>
    <x v="2"/>
    <x v="4"/>
    <x v="479"/>
    <n v="8"/>
    <x v="2"/>
    <x v="4"/>
    <n v="101.16"/>
  </r>
  <r>
    <x v="480"/>
    <x v="379"/>
    <x v="480"/>
    <x v="3"/>
    <x v="2"/>
    <n v="335.1"/>
    <x v="99"/>
    <x v="0"/>
    <x v="4"/>
    <x v="480"/>
    <n v="6"/>
    <x v="1"/>
    <x v="1"/>
    <n v="335.1"/>
  </r>
  <r>
    <x v="481"/>
    <x v="295"/>
    <x v="481"/>
    <x v="5"/>
    <x v="3"/>
    <n v="484.85"/>
    <x v="186"/>
    <x v="0"/>
    <x v="3"/>
    <x v="481"/>
    <n v="5"/>
    <x v="3"/>
    <x v="1"/>
    <n v="1939.4"/>
  </r>
  <r>
    <x v="482"/>
    <x v="380"/>
    <x v="482"/>
    <x v="0"/>
    <x v="4"/>
    <n v="381.41"/>
    <x v="77"/>
    <x v="1"/>
    <x v="4"/>
    <x v="482"/>
    <n v="6"/>
    <x v="2"/>
    <x v="0"/>
    <n v="1144.23"/>
  </r>
  <r>
    <x v="483"/>
    <x v="381"/>
    <x v="483"/>
    <x v="1"/>
    <x v="0"/>
    <n v="347.92"/>
    <x v="372"/>
    <x v="4"/>
    <x v="4"/>
    <x v="483"/>
    <n v="6"/>
    <x v="3"/>
    <x v="4"/>
    <n v="1739.6"/>
  </r>
  <r>
    <x v="484"/>
    <x v="382"/>
    <x v="484"/>
    <x v="3"/>
    <x v="3"/>
    <n v="15.01"/>
    <x v="326"/>
    <x v="4"/>
    <x v="1"/>
    <x v="484"/>
    <n v="6"/>
    <x v="2"/>
    <x v="3"/>
    <n v="60.04"/>
  </r>
  <r>
    <x v="485"/>
    <x v="383"/>
    <x v="485"/>
    <x v="3"/>
    <x v="4"/>
    <n v="404.79"/>
    <x v="373"/>
    <x v="4"/>
    <x v="0"/>
    <x v="485"/>
    <n v="6"/>
    <x v="0"/>
    <x v="0"/>
    <n v="1214.3699999999999"/>
  </r>
  <r>
    <x v="486"/>
    <x v="384"/>
    <x v="486"/>
    <x v="4"/>
    <x v="3"/>
    <n v="611.26"/>
    <x v="317"/>
    <x v="4"/>
    <x v="0"/>
    <x v="486"/>
    <n v="5"/>
    <x v="0"/>
    <x v="1"/>
    <n v="2445.04"/>
  </r>
  <r>
    <x v="487"/>
    <x v="338"/>
    <x v="487"/>
    <x v="4"/>
    <x v="4"/>
    <n v="346.52"/>
    <x v="374"/>
    <x v="2"/>
    <x v="4"/>
    <x v="487"/>
    <n v="3"/>
    <x v="0"/>
    <x v="4"/>
    <n v="1039.56"/>
  </r>
  <r>
    <x v="488"/>
    <x v="194"/>
    <x v="488"/>
    <x v="3"/>
    <x v="2"/>
    <n v="36.65"/>
    <x v="375"/>
    <x v="1"/>
    <x v="1"/>
    <x v="488"/>
    <n v="1"/>
    <x v="3"/>
    <x v="2"/>
    <n v="36.65"/>
  </r>
  <r>
    <x v="489"/>
    <x v="189"/>
    <x v="489"/>
    <x v="2"/>
    <x v="4"/>
    <n v="149.34"/>
    <x v="227"/>
    <x v="3"/>
    <x v="1"/>
    <x v="489"/>
    <n v="7"/>
    <x v="3"/>
    <x v="2"/>
    <n v="448.02"/>
  </r>
  <r>
    <x v="490"/>
    <x v="319"/>
    <x v="490"/>
    <x v="3"/>
    <x v="0"/>
    <n v="467.81"/>
    <x v="376"/>
    <x v="1"/>
    <x v="1"/>
    <x v="490"/>
    <n v="10"/>
    <x v="2"/>
    <x v="3"/>
    <n v="2339.0500000000002"/>
  </r>
  <r>
    <x v="491"/>
    <x v="314"/>
    <x v="491"/>
    <x v="1"/>
    <x v="0"/>
    <n v="420.7"/>
    <x v="370"/>
    <x v="4"/>
    <x v="4"/>
    <x v="491"/>
    <n v="5"/>
    <x v="3"/>
    <x v="3"/>
    <n v="2103.5"/>
  </r>
  <r>
    <x v="492"/>
    <x v="385"/>
    <x v="492"/>
    <x v="5"/>
    <x v="0"/>
    <n v="606.52"/>
    <x v="73"/>
    <x v="0"/>
    <x v="0"/>
    <x v="492"/>
    <n v="6"/>
    <x v="0"/>
    <x v="0"/>
    <n v="3032.6"/>
  </r>
  <r>
    <x v="493"/>
    <x v="386"/>
    <x v="493"/>
    <x v="1"/>
    <x v="2"/>
    <n v="420.26"/>
    <x v="377"/>
    <x v="2"/>
    <x v="4"/>
    <x v="493"/>
    <n v="4"/>
    <x v="1"/>
    <x v="3"/>
    <n v="420.26"/>
  </r>
  <r>
    <x v="494"/>
    <x v="45"/>
    <x v="494"/>
    <x v="5"/>
    <x v="4"/>
    <n v="505.79"/>
    <x v="378"/>
    <x v="0"/>
    <x v="4"/>
    <x v="494"/>
    <n v="3"/>
    <x v="1"/>
    <x v="1"/>
    <n v="1517.37"/>
  </r>
  <r>
    <x v="495"/>
    <x v="85"/>
    <x v="495"/>
    <x v="1"/>
    <x v="3"/>
    <n v="493.73"/>
    <x v="140"/>
    <x v="0"/>
    <x v="4"/>
    <x v="495"/>
    <n v="6"/>
    <x v="0"/>
    <x v="3"/>
    <n v="1974.92"/>
  </r>
  <r>
    <x v="496"/>
    <x v="387"/>
    <x v="496"/>
    <x v="4"/>
    <x v="4"/>
    <n v="201.21"/>
    <x v="379"/>
    <x v="1"/>
    <x v="1"/>
    <x v="496"/>
    <n v="3"/>
    <x v="0"/>
    <x v="4"/>
    <n v="603.63"/>
  </r>
  <r>
    <x v="497"/>
    <x v="101"/>
    <x v="497"/>
    <x v="4"/>
    <x v="4"/>
    <n v="112.29"/>
    <x v="380"/>
    <x v="3"/>
    <x v="0"/>
    <x v="497"/>
    <n v="6"/>
    <x v="2"/>
    <x v="4"/>
    <n v="336.87"/>
  </r>
  <r>
    <x v="498"/>
    <x v="219"/>
    <x v="498"/>
    <x v="2"/>
    <x v="3"/>
    <n v="132.56"/>
    <x v="212"/>
    <x v="4"/>
    <x v="2"/>
    <x v="498"/>
    <n v="8"/>
    <x v="3"/>
    <x v="0"/>
    <n v="530.24"/>
  </r>
  <r>
    <x v="499"/>
    <x v="388"/>
    <x v="499"/>
    <x v="4"/>
    <x v="4"/>
    <n v="539.46"/>
    <x v="381"/>
    <x v="2"/>
    <x v="0"/>
    <x v="499"/>
    <n v="4"/>
    <x v="0"/>
    <x v="3"/>
    <n v="1618.38"/>
  </r>
  <r>
    <x v="500"/>
    <x v="158"/>
    <x v="500"/>
    <x v="5"/>
    <x v="0"/>
    <n v="508.59"/>
    <x v="382"/>
    <x v="4"/>
    <x v="2"/>
    <x v="500"/>
    <n v="8"/>
    <x v="3"/>
    <x v="3"/>
    <n v="2542.9499999999998"/>
  </r>
  <r>
    <x v="501"/>
    <x v="389"/>
    <x v="501"/>
    <x v="6"/>
    <x v="3"/>
    <n v="203.46"/>
    <x v="149"/>
    <x v="2"/>
    <x v="4"/>
    <x v="501"/>
    <n v="7"/>
    <x v="0"/>
    <x v="1"/>
    <n v="813.84"/>
  </r>
  <r>
    <x v="502"/>
    <x v="390"/>
    <x v="502"/>
    <x v="0"/>
    <x v="4"/>
    <n v="565.25"/>
    <x v="383"/>
    <x v="0"/>
    <x v="2"/>
    <x v="502"/>
    <n v="7"/>
    <x v="0"/>
    <x v="2"/>
    <n v="1695.75"/>
  </r>
  <r>
    <x v="503"/>
    <x v="303"/>
    <x v="503"/>
    <x v="2"/>
    <x v="4"/>
    <n v="136.84"/>
    <x v="384"/>
    <x v="1"/>
    <x v="4"/>
    <x v="503"/>
    <n v="4"/>
    <x v="1"/>
    <x v="3"/>
    <n v="410.52"/>
  </r>
  <r>
    <x v="504"/>
    <x v="113"/>
    <x v="504"/>
    <x v="0"/>
    <x v="1"/>
    <n v="464.5"/>
    <x v="385"/>
    <x v="1"/>
    <x v="1"/>
    <x v="504"/>
    <n v="2"/>
    <x v="3"/>
    <x v="0"/>
    <n v="929"/>
  </r>
  <r>
    <x v="505"/>
    <x v="236"/>
    <x v="505"/>
    <x v="4"/>
    <x v="1"/>
    <n v="434.97"/>
    <x v="317"/>
    <x v="1"/>
    <x v="0"/>
    <x v="505"/>
    <n v="7"/>
    <x v="2"/>
    <x v="2"/>
    <n v="869.94"/>
  </r>
  <r>
    <x v="506"/>
    <x v="284"/>
    <x v="506"/>
    <x v="0"/>
    <x v="1"/>
    <n v="43.67"/>
    <x v="386"/>
    <x v="4"/>
    <x v="2"/>
    <x v="506"/>
    <n v="4"/>
    <x v="3"/>
    <x v="0"/>
    <n v="87.34"/>
  </r>
  <r>
    <x v="507"/>
    <x v="176"/>
    <x v="507"/>
    <x v="1"/>
    <x v="2"/>
    <n v="171.59"/>
    <x v="274"/>
    <x v="2"/>
    <x v="4"/>
    <x v="507"/>
    <n v="5"/>
    <x v="3"/>
    <x v="2"/>
    <n v="171.59"/>
  </r>
  <r>
    <x v="508"/>
    <x v="391"/>
    <x v="508"/>
    <x v="1"/>
    <x v="2"/>
    <n v="558.27"/>
    <x v="387"/>
    <x v="1"/>
    <x v="3"/>
    <x v="508"/>
    <n v="1"/>
    <x v="2"/>
    <x v="1"/>
    <n v="558.27"/>
  </r>
  <r>
    <x v="509"/>
    <x v="392"/>
    <x v="509"/>
    <x v="5"/>
    <x v="1"/>
    <n v="425.03"/>
    <x v="388"/>
    <x v="4"/>
    <x v="2"/>
    <x v="509"/>
    <n v="2"/>
    <x v="3"/>
    <x v="4"/>
    <n v="850.06"/>
  </r>
  <r>
    <x v="510"/>
    <x v="393"/>
    <x v="510"/>
    <x v="4"/>
    <x v="2"/>
    <n v="376.76"/>
    <x v="389"/>
    <x v="0"/>
    <x v="3"/>
    <x v="510"/>
    <n v="5"/>
    <x v="0"/>
    <x v="2"/>
    <n v="376.76"/>
  </r>
  <r>
    <x v="511"/>
    <x v="394"/>
    <x v="511"/>
    <x v="0"/>
    <x v="0"/>
    <n v="575.24"/>
    <x v="40"/>
    <x v="4"/>
    <x v="3"/>
    <x v="511"/>
    <n v="7"/>
    <x v="3"/>
    <x v="2"/>
    <n v="2876.2"/>
  </r>
  <r>
    <x v="512"/>
    <x v="395"/>
    <x v="512"/>
    <x v="6"/>
    <x v="4"/>
    <n v="568.02"/>
    <x v="252"/>
    <x v="1"/>
    <x v="4"/>
    <x v="512"/>
    <n v="3"/>
    <x v="1"/>
    <x v="0"/>
    <n v="1704.06"/>
  </r>
  <r>
    <x v="513"/>
    <x v="396"/>
    <x v="513"/>
    <x v="2"/>
    <x v="4"/>
    <n v="94.88"/>
    <x v="91"/>
    <x v="3"/>
    <x v="0"/>
    <x v="513"/>
    <n v="8"/>
    <x v="2"/>
    <x v="1"/>
    <n v="284.64"/>
  </r>
  <r>
    <x v="514"/>
    <x v="397"/>
    <x v="514"/>
    <x v="4"/>
    <x v="4"/>
    <n v="304.14999999999998"/>
    <x v="354"/>
    <x v="3"/>
    <x v="0"/>
    <x v="514"/>
    <n v="3"/>
    <x v="3"/>
    <x v="0"/>
    <n v="912.44999999999993"/>
  </r>
  <r>
    <x v="515"/>
    <x v="369"/>
    <x v="515"/>
    <x v="1"/>
    <x v="4"/>
    <n v="553.52"/>
    <x v="352"/>
    <x v="3"/>
    <x v="0"/>
    <x v="515"/>
    <n v="4"/>
    <x v="1"/>
    <x v="3"/>
    <n v="1660.56"/>
  </r>
  <r>
    <x v="516"/>
    <x v="158"/>
    <x v="516"/>
    <x v="0"/>
    <x v="4"/>
    <n v="166.99"/>
    <x v="249"/>
    <x v="4"/>
    <x v="2"/>
    <x v="516"/>
    <n v="8"/>
    <x v="2"/>
    <x v="3"/>
    <n v="500.97"/>
  </r>
  <r>
    <x v="517"/>
    <x v="398"/>
    <x v="517"/>
    <x v="2"/>
    <x v="3"/>
    <n v="198.35"/>
    <x v="371"/>
    <x v="4"/>
    <x v="1"/>
    <x v="517"/>
    <n v="7"/>
    <x v="1"/>
    <x v="4"/>
    <n v="793.4"/>
  </r>
  <r>
    <x v="518"/>
    <x v="399"/>
    <x v="518"/>
    <x v="4"/>
    <x v="3"/>
    <n v="403.58"/>
    <x v="322"/>
    <x v="1"/>
    <x v="4"/>
    <x v="518"/>
    <n v="9"/>
    <x v="0"/>
    <x v="1"/>
    <n v="1614.32"/>
  </r>
  <r>
    <x v="519"/>
    <x v="400"/>
    <x v="519"/>
    <x v="5"/>
    <x v="3"/>
    <n v="464.29"/>
    <x v="390"/>
    <x v="0"/>
    <x v="2"/>
    <x v="519"/>
    <n v="5"/>
    <x v="0"/>
    <x v="2"/>
    <n v="1857.16"/>
  </r>
  <r>
    <x v="520"/>
    <x v="401"/>
    <x v="520"/>
    <x v="0"/>
    <x v="4"/>
    <n v="635.98"/>
    <x v="391"/>
    <x v="4"/>
    <x v="2"/>
    <x v="520"/>
    <n v="5"/>
    <x v="2"/>
    <x v="1"/>
    <n v="1907.94"/>
  </r>
  <r>
    <x v="521"/>
    <x v="402"/>
    <x v="521"/>
    <x v="1"/>
    <x v="2"/>
    <n v="528.05999999999995"/>
    <x v="392"/>
    <x v="2"/>
    <x v="0"/>
    <x v="521"/>
    <n v="2"/>
    <x v="2"/>
    <x v="3"/>
    <n v="528.05999999999995"/>
  </r>
  <r>
    <x v="522"/>
    <x v="322"/>
    <x v="522"/>
    <x v="3"/>
    <x v="2"/>
    <n v="515.32000000000005"/>
    <x v="240"/>
    <x v="3"/>
    <x v="1"/>
    <x v="522"/>
    <n v="1"/>
    <x v="1"/>
    <x v="2"/>
    <n v="515.32000000000005"/>
  </r>
  <r>
    <x v="523"/>
    <x v="403"/>
    <x v="523"/>
    <x v="6"/>
    <x v="3"/>
    <n v="657.79"/>
    <x v="331"/>
    <x v="2"/>
    <x v="2"/>
    <x v="523"/>
    <n v="6"/>
    <x v="3"/>
    <x v="4"/>
    <n v="2631.16"/>
  </r>
  <r>
    <x v="524"/>
    <x v="385"/>
    <x v="524"/>
    <x v="1"/>
    <x v="2"/>
    <n v="153"/>
    <x v="73"/>
    <x v="2"/>
    <x v="2"/>
    <x v="524"/>
    <n v="4"/>
    <x v="2"/>
    <x v="1"/>
    <n v="153"/>
  </r>
  <r>
    <x v="525"/>
    <x v="404"/>
    <x v="525"/>
    <x v="0"/>
    <x v="2"/>
    <n v="668.48"/>
    <x v="352"/>
    <x v="0"/>
    <x v="0"/>
    <x v="525"/>
    <n v="1"/>
    <x v="0"/>
    <x v="2"/>
    <n v="668.48"/>
  </r>
  <r>
    <x v="526"/>
    <x v="405"/>
    <x v="526"/>
    <x v="6"/>
    <x v="1"/>
    <n v="46.5"/>
    <x v="87"/>
    <x v="4"/>
    <x v="2"/>
    <x v="526"/>
    <n v="7"/>
    <x v="3"/>
    <x v="4"/>
    <n v="93"/>
  </r>
  <r>
    <x v="527"/>
    <x v="406"/>
    <x v="527"/>
    <x v="3"/>
    <x v="0"/>
    <n v="653.47"/>
    <x v="78"/>
    <x v="2"/>
    <x v="1"/>
    <x v="527"/>
    <n v="10"/>
    <x v="0"/>
    <x v="1"/>
    <n v="3267.35"/>
  </r>
  <r>
    <x v="528"/>
    <x v="407"/>
    <x v="528"/>
    <x v="3"/>
    <x v="2"/>
    <n v="628.89"/>
    <x v="355"/>
    <x v="2"/>
    <x v="2"/>
    <x v="528"/>
    <n v="2"/>
    <x v="0"/>
    <x v="1"/>
    <n v="628.89"/>
  </r>
  <r>
    <x v="529"/>
    <x v="158"/>
    <x v="529"/>
    <x v="2"/>
    <x v="1"/>
    <n v="675.1"/>
    <x v="393"/>
    <x v="4"/>
    <x v="4"/>
    <x v="529"/>
    <n v="4"/>
    <x v="1"/>
    <x v="4"/>
    <n v="1350.2"/>
  </r>
  <r>
    <x v="530"/>
    <x v="408"/>
    <x v="530"/>
    <x v="3"/>
    <x v="3"/>
    <n v="89.41"/>
    <x v="394"/>
    <x v="1"/>
    <x v="4"/>
    <x v="530"/>
    <n v="9"/>
    <x v="2"/>
    <x v="4"/>
    <n v="357.64"/>
  </r>
  <r>
    <x v="531"/>
    <x v="367"/>
    <x v="531"/>
    <x v="6"/>
    <x v="0"/>
    <n v="320.01"/>
    <x v="395"/>
    <x v="3"/>
    <x v="3"/>
    <x v="531"/>
    <n v="6"/>
    <x v="2"/>
    <x v="1"/>
    <n v="1600.05"/>
  </r>
  <r>
    <x v="532"/>
    <x v="120"/>
    <x v="532"/>
    <x v="5"/>
    <x v="1"/>
    <n v="41"/>
    <x v="396"/>
    <x v="1"/>
    <x v="3"/>
    <x v="532"/>
    <n v="7"/>
    <x v="2"/>
    <x v="2"/>
    <n v="82"/>
  </r>
  <r>
    <x v="533"/>
    <x v="409"/>
    <x v="533"/>
    <x v="6"/>
    <x v="2"/>
    <n v="565.85"/>
    <x v="62"/>
    <x v="3"/>
    <x v="2"/>
    <x v="533"/>
    <n v="1"/>
    <x v="1"/>
    <x v="3"/>
    <n v="565.85"/>
  </r>
  <r>
    <x v="534"/>
    <x v="309"/>
    <x v="534"/>
    <x v="3"/>
    <x v="4"/>
    <n v="648.59"/>
    <x v="397"/>
    <x v="0"/>
    <x v="1"/>
    <x v="534"/>
    <n v="4"/>
    <x v="0"/>
    <x v="2"/>
    <n v="1945.77"/>
  </r>
  <r>
    <x v="535"/>
    <x v="25"/>
    <x v="535"/>
    <x v="0"/>
    <x v="4"/>
    <n v="68.12"/>
    <x v="157"/>
    <x v="1"/>
    <x v="1"/>
    <x v="535"/>
    <n v="3"/>
    <x v="1"/>
    <x v="2"/>
    <n v="204.36"/>
  </r>
  <r>
    <x v="536"/>
    <x v="410"/>
    <x v="536"/>
    <x v="3"/>
    <x v="2"/>
    <n v="616.1"/>
    <x v="398"/>
    <x v="4"/>
    <x v="2"/>
    <x v="536"/>
    <n v="6"/>
    <x v="2"/>
    <x v="2"/>
    <n v="616.1"/>
  </r>
  <r>
    <x v="537"/>
    <x v="411"/>
    <x v="537"/>
    <x v="2"/>
    <x v="4"/>
    <n v="247.47"/>
    <x v="61"/>
    <x v="1"/>
    <x v="3"/>
    <x v="537"/>
    <n v="4"/>
    <x v="0"/>
    <x v="3"/>
    <n v="742.41"/>
  </r>
  <r>
    <x v="538"/>
    <x v="75"/>
    <x v="538"/>
    <x v="1"/>
    <x v="4"/>
    <n v="490.74"/>
    <x v="399"/>
    <x v="4"/>
    <x v="0"/>
    <x v="538"/>
    <n v="3"/>
    <x v="3"/>
    <x v="2"/>
    <n v="1472.22"/>
  </r>
  <r>
    <x v="539"/>
    <x v="403"/>
    <x v="539"/>
    <x v="6"/>
    <x v="4"/>
    <n v="531.72"/>
    <x v="400"/>
    <x v="3"/>
    <x v="3"/>
    <x v="539"/>
    <n v="7"/>
    <x v="0"/>
    <x v="4"/>
    <n v="1595.16"/>
  </r>
  <r>
    <x v="540"/>
    <x v="412"/>
    <x v="540"/>
    <x v="5"/>
    <x v="0"/>
    <n v="648.65"/>
    <x v="401"/>
    <x v="1"/>
    <x v="4"/>
    <x v="540"/>
    <n v="7"/>
    <x v="2"/>
    <x v="1"/>
    <n v="3243.25"/>
  </r>
  <r>
    <x v="541"/>
    <x v="413"/>
    <x v="541"/>
    <x v="4"/>
    <x v="0"/>
    <n v="456.06"/>
    <x v="402"/>
    <x v="4"/>
    <x v="4"/>
    <x v="541"/>
    <n v="10"/>
    <x v="2"/>
    <x v="0"/>
    <n v="2280.3000000000002"/>
  </r>
  <r>
    <x v="542"/>
    <x v="414"/>
    <x v="542"/>
    <x v="2"/>
    <x v="2"/>
    <n v="17.98"/>
    <x v="5"/>
    <x v="4"/>
    <x v="1"/>
    <x v="542"/>
    <n v="6"/>
    <x v="1"/>
    <x v="2"/>
    <n v="17.98"/>
  </r>
  <r>
    <x v="543"/>
    <x v="415"/>
    <x v="543"/>
    <x v="6"/>
    <x v="0"/>
    <n v="269.86"/>
    <x v="159"/>
    <x v="4"/>
    <x v="0"/>
    <x v="543"/>
    <n v="6"/>
    <x v="3"/>
    <x v="3"/>
    <n v="1349.3"/>
  </r>
  <r>
    <x v="544"/>
    <x v="416"/>
    <x v="544"/>
    <x v="4"/>
    <x v="0"/>
    <n v="31.96"/>
    <x v="316"/>
    <x v="2"/>
    <x v="2"/>
    <x v="544"/>
    <n v="5"/>
    <x v="1"/>
    <x v="1"/>
    <n v="159.80000000000001"/>
  </r>
  <r>
    <x v="545"/>
    <x v="263"/>
    <x v="545"/>
    <x v="0"/>
    <x v="1"/>
    <n v="98.47"/>
    <x v="403"/>
    <x v="4"/>
    <x v="2"/>
    <x v="545"/>
    <n v="3"/>
    <x v="2"/>
    <x v="0"/>
    <n v="196.94"/>
  </r>
  <r>
    <x v="546"/>
    <x v="417"/>
    <x v="546"/>
    <x v="0"/>
    <x v="2"/>
    <n v="158.68"/>
    <x v="0"/>
    <x v="2"/>
    <x v="2"/>
    <x v="546"/>
    <n v="6"/>
    <x v="3"/>
    <x v="0"/>
    <n v="158.68"/>
  </r>
  <r>
    <x v="547"/>
    <x v="38"/>
    <x v="547"/>
    <x v="1"/>
    <x v="2"/>
    <n v="613.98"/>
    <x v="404"/>
    <x v="1"/>
    <x v="3"/>
    <x v="547"/>
    <n v="4"/>
    <x v="1"/>
    <x v="3"/>
    <n v="613.98"/>
  </r>
  <r>
    <x v="548"/>
    <x v="80"/>
    <x v="548"/>
    <x v="4"/>
    <x v="4"/>
    <n v="426.12"/>
    <x v="90"/>
    <x v="1"/>
    <x v="3"/>
    <x v="548"/>
    <n v="5"/>
    <x v="3"/>
    <x v="0"/>
    <n v="1278.3599999999999"/>
  </r>
  <r>
    <x v="549"/>
    <x v="86"/>
    <x v="549"/>
    <x v="0"/>
    <x v="3"/>
    <n v="629.88"/>
    <x v="405"/>
    <x v="0"/>
    <x v="1"/>
    <x v="549"/>
    <n v="8"/>
    <x v="3"/>
    <x v="0"/>
    <n v="2519.52"/>
  </r>
  <r>
    <x v="550"/>
    <x v="418"/>
    <x v="550"/>
    <x v="5"/>
    <x v="3"/>
    <n v="228.91"/>
    <x v="132"/>
    <x v="4"/>
    <x v="0"/>
    <x v="550"/>
    <n v="4"/>
    <x v="1"/>
    <x v="4"/>
    <n v="915.64"/>
  </r>
  <r>
    <x v="551"/>
    <x v="419"/>
    <x v="551"/>
    <x v="5"/>
    <x v="2"/>
    <n v="120.98"/>
    <x v="118"/>
    <x v="0"/>
    <x v="3"/>
    <x v="551"/>
    <n v="6"/>
    <x v="3"/>
    <x v="2"/>
    <n v="120.98"/>
  </r>
  <r>
    <x v="552"/>
    <x v="420"/>
    <x v="552"/>
    <x v="3"/>
    <x v="3"/>
    <n v="425.18"/>
    <x v="388"/>
    <x v="1"/>
    <x v="2"/>
    <x v="552"/>
    <n v="8"/>
    <x v="3"/>
    <x v="3"/>
    <n v="1700.72"/>
  </r>
  <r>
    <x v="553"/>
    <x v="421"/>
    <x v="553"/>
    <x v="1"/>
    <x v="1"/>
    <n v="333.83"/>
    <x v="406"/>
    <x v="3"/>
    <x v="1"/>
    <x v="553"/>
    <n v="4"/>
    <x v="1"/>
    <x v="1"/>
    <n v="667.66"/>
  </r>
  <r>
    <x v="554"/>
    <x v="422"/>
    <x v="554"/>
    <x v="5"/>
    <x v="1"/>
    <n v="492.9"/>
    <x v="200"/>
    <x v="4"/>
    <x v="2"/>
    <x v="554"/>
    <n v="5"/>
    <x v="1"/>
    <x v="0"/>
    <n v="985.8"/>
  </r>
  <r>
    <x v="555"/>
    <x v="33"/>
    <x v="555"/>
    <x v="2"/>
    <x v="2"/>
    <n v="92.04"/>
    <x v="10"/>
    <x v="4"/>
    <x v="0"/>
    <x v="555"/>
    <n v="2"/>
    <x v="2"/>
    <x v="3"/>
    <n v="92.04"/>
  </r>
  <r>
    <x v="556"/>
    <x v="423"/>
    <x v="556"/>
    <x v="5"/>
    <x v="2"/>
    <n v="654.27"/>
    <x v="407"/>
    <x v="3"/>
    <x v="4"/>
    <x v="556"/>
    <n v="2"/>
    <x v="0"/>
    <x v="3"/>
    <n v="654.27"/>
  </r>
  <r>
    <x v="557"/>
    <x v="282"/>
    <x v="557"/>
    <x v="2"/>
    <x v="2"/>
    <n v="56.2"/>
    <x v="408"/>
    <x v="0"/>
    <x v="4"/>
    <x v="557"/>
    <n v="1"/>
    <x v="3"/>
    <x v="3"/>
    <n v="56.2"/>
  </r>
  <r>
    <x v="558"/>
    <x v="424"/>
    <x v="558"/>
    <x v="1"/>
    <x v="3"/>
    <n v="628.12"/>
    <x v="409"/>
    <x v="1"/>
    <x v="3"/>
    <x v="558"/>
    <n v="6"/>
    <x v="3"/>
    <x v="0"/>
    <n v="2512.48"/>
  </r>
  <r>
    <x v="559"/>
    <x v="116"/>
    <x v="559"/>
    <x v="6"/>
    <x v="4"/>
    <n v="157.4"/>
    <x v="380"/>
    <x v="0"/>
    <x v="1"/>
    <x v="559"/>
    <n v="7"/>
    <x v="3"/>
    <x v="2"/>
    <n v="472.2"/>
  </r>
  <r>
    <x v="560"/>
    <x v="425"/>
    <x v="560"/>
    <x v="0"/>
    <x v="3"/>
    <n v="588.85"/>
    <x v="410"/>
    <x v="3"/>
    <x v="4"/>
    <x v="560"/>
    <n v="7"/>
    <x v="2"/>
    <x v="2"/>
    <n v="2355.4"/>
  </r>
  <r>
    <x v="561"/>
    <x v="425"/>
    <x v="561"/>
    <x v="4"/>
    <x v="1"/>
    <n v="494.78"/>
    <x v="411"/>
    <x v="1"/>
    <x v="0"/>
    <x v="561"/>
    <n v="2"/>
    <x v="2"/>
    <x v="4"/>
    <n v="989.56"/>
  </r>
  <r>
    <x v="562"/>
    <x v="426"/>
    <x v="562"/>
    <x v="5"/>
    <x v="4"/>
    <n v="663.93"/>
    <x v="90"/>
    <x v="3"/>
    <x v="2"/>
    <x v="562"/>
    <n v="6"/>
    <x v="1"/>
    <x v="2"/>
    <n v="1991.79"/>
  </r>
  <r>
    <x v="563"/>
    <x v="427"/>
    <x v="563"/>
    <x v="5"/>
    <x v="2"/>
    <n v="132.68"/>
    <x v="412"/>
    <x v="0"/>
    <x v="2"/>
    <x v="563"/>
    <n v="1"/>
    <x v="0"/>
    <x v="1"/>
    <n v="132.68"/>
  </r>
  <r>
    <x v="564"/>
    <x v="428"/>
    <x v="564"/>
    <x v="6"/>
    <x v="0"/>
    <n v="364.28"/>
    <x v="413"/>
    <x v="2"/>
    <x v="1"/>
    <x v="564"/>
    <n v="5"/>
    <x v="3"/>
    <x v="4"/>
    <n v="1821.4"/>
  </r>
  <r>
    <x v="565"/>
    <x v="429"/>
    <x v="565"/>
    <x v="2"/>
    <x v="0"/>
    <n v="307.98"/>
    <x v="360"/>
    <x v="1"/>
    <x v="4"/>
    <x v="565"/>
    <n v="10"/>
    <x v="2"/>
    <x v="3"/>
    <n v="1539.9"/>
  </r>
  <r>
    <x v="566"/>
    <x v="171"/>
    <x v="566"/>
    <x v="1"/>
    <x v="3"/>
    <n v="162.71"/>
    <x v="414"/>
    <x v="4"/>
    <x v="1"/>
    <x v="566"/>
    <n v="7"/>
    <x v="1"/>
    <x v="2"/>
    <n v="650.84"/>
  </r>
  <r>
    <x v="567"/>
    <x v="430"/>
    <x v="567"/>
    <x v="3"/>
    <x v="0"/>
    <n v="492.94"/>
    <x v="222"/>
    <x v="4"/>
    <x v="0"/>
    <x v="567"/>
    <n v="10"/>
    <x v="1"/>
    <x v="2"/>
    <n v="2464.6999999999998"/>
  </r>
  <r>
    <x v="568"/>
    <x v="401"/>
    <x v="568"/>
    <x v="5"/>
    <x v="1"/>
    <n v="343.99"/>
    <x v="304"/>
    <x v="1"/>
    <x v="3"/>
    <x v="568"/>
    <n v="4"/>
    <x v="2"/>
    <x v="4"/>
    <n v="687.98"/>
  </r>
  <r>
    <x v="569"/>
    <x v="29"/>
    <x v="569"/>
    <x v="6"/>
    <x v="0"/>
    <n v="250.68"/>
    <x v="364"/>
    <x v="4"/>
    <x v="0"/>
    <x v="569"/>
    <n v="8"/>
    <x v="0"/>
    <x v="0"/>
    <n v="1253.4000000000001"/>
  </r>
  <r>
    <x v="570"/>
    <x v="431"/>
    <x v="570"/>
    <x v="6"/>
    <x v="1"/>
    <n v="362.14"/>
    <x v="108"/>
    <x v="0"/>
    <x v="4"/>
    <x v="570"/>
    <n v="2"/>
    <x v="0"/>
    <x v="0"/>
    <n v="724.28"/>
  </r>
  <r>
    <x v="571"/>
    <x v="432"/>
    <x v="571"/>
    <x v="2"/>
    <x v="2"/>
    <n v="214.08"/>
    <x v="369"/>
    <x v="3"/>
    <x v="2"/>
    <x v="571"/>
    <n v="2"/>
    <x v="3"/>
    <x v="4"/>
    <n v="214.08"/>
  </r>
  <r>
    <x v="572"/>
    <x v="433"/>
    <x v="572"/>
    <x v="4"/>
    <x v="2"/>
    <n v="70.319999999999993"/>
    <x v="312"/>
    <x v="4"/>
    <x v="2"/>
    <x v="572"/>
    <n v="4"/>
    <x v="3"/>
    <x v="3"/>
    <n v="70.319999999999993"/>
  </r>
  <r>
    <x v="573"/>
    <x v="261"/>
    <x v="573"/>
    <x v="3"/>
    <x v="0"/>
    <n v="421.42"/>
    <x v="101"/>
    <x v="0"/>
    <x v="1"/>
    <x v="573"/>
    <n v="7"/>
    <x v="2"/>
    <x v="0"/>
    <n v="2107.1"/>
  </r>
  <r>
    <x v="574"/>
    <x v="434"/>
    <x v="574"/>
    <x v="3"/>
    <x v="0"/>
    <n v="384.69"/>
    <x v="3"/>
    <x v="2"/>
    <x v="4"/>
    <x v="574"/>
    <n v="6"/>
    <x v="1"/>
    <x v="2"/>
    <n v="1923.45"/>
  </r>
  <r>
    <x v="575"/>
    <x v="323"/>
    <x v="575"/>
    <x v="3"/>
    <x v="0"/>
    <n v="448.15"/>
    <x v="415"/>
    <x v="3"/>
    <x v="2"/>
    <x v="575"/>
    <n v="7"/>
    <x v="0"/>
    <x v="4"/>
    <n v="2240.75"/>
  </r>
  <r>
    <x v="576"/>
    <x v="382"/>
    <x v="576"/>
    <x v="5"/>
    <x v="0"/>
    <n v="79.08"/>
    <x v="300"/>
    <x v="4"/>
    <x v="4"/>
    <x v="576"/>
    <n v="8"/>
    <x v="2"/>
    <x v="3"/>
    <n v="395.4"/>
  </r>
  <r>
    <x v="577"/>
    <x v="55"/>
    <x v="577"/>
    <x v="2"/>
    <x v="3"/>
    <n v="185.41"/>
    <x v="78"/>
    <x v="1"/>
    <x v="2"/>
    <x v="577"/>
    <n v="9"/>
    <x v="3"/>
    <x v="4"/>
    <n v="741.64"/>
  </r>
  <r>
    <x v="578"/>
    <x v="84"/>
    <x v="578"/>
    <x v="0"/>
    <x v="0"/>
    <n v="566.07000000000005"/>
    <x v="20"/>
    <x v="2"/>
    <x v="3"/>
    <x v="578"/>
    <n v="6"/>
    <x v="0"/>
    <x v="0"/>
    <n v="2830.35"/>
  </r>
  <r>
    <x v="579"/>
    <x v="243"/>
    <x v="579"/>
    <x v="2"/>
    <x v="1"/>
    <n v="187.88"/>
    <x v="269"/>
    <x v="1"/>
    <x v="0"/>
    <x v="579"/>
    <n v="4"/>
    <x v="3"/>
    <x v="3"/>
    <n v="375.76"/>
  </r>
  <r>
    <x v="580"/>
    <x v="414"/>
    <x v="580"/>
    <x v="0"/>
    <x v="1"/>
    <n v="255.99"/>
    <x v="416"/>
    <x v="2"/>
    <x v="3"/>
    <x v="580"/>
    <n v="4"/>
    <x v="0"/>
    <x v="0"/>
    <n v="511.98"/>
  </r>
  <r>
    <x v="581"/>
    <x v="435"/>
    <x v="581"/>
    <x v="5"/>
    <x v="2"/>
    <n v="627.34"/>
    <x v="15"/>
    <x v="1"/>
    <x v="3"/>
    <x v="581"/>
    <n v="1"/>
    <x v="2"/>
    <x v="1"/>
    <n v="627.34"/>
  </r>
  <r>
    <x v="582"/>
    <x v="436"/>
    <x v="582"/>
    <x v="2"/>
    <x v="4"/>
    <n v="474.14"/>
    <x v="317"/>
    <x v="3"/>
    <x v="0"/>
    <x v="582"/>
    <n v="8"/>
    <x v="3"/>
    <x v="4"/>
    <n v="1422.42"/>
  </r>
  <r>
    <x v="583"/>
    <x v="437"/>
    <x v="583"/>
    <x v="3"/>
    <x v="4"/>
    <n v="154.37"/>
    <x v="31"/>
    <x v="3"/>
    <x v="3"/>
    <x v="583"/>
    <n v="4"/>
    <x v="2"/>
    <x v="0"/>
    <n v="463.11"/>
  </r>
  <r>
    <x v="584"/>
    <x v="438"/>
    <x v="584"/>
    <x v="3"/>
    <x v="3"/>
    <n v="145.05000000000001"/>
    <x v="417"/>
    <x v="1"/>
    <x v="3"/>
    <x v="584"/>
    <n v="6"/>
    <x v="0"/>
    <x v="4"/>
    <n v="580.20000000000005"/>
  </r>
  <r>
    <x v="585"/>
    <x v="38"/>
    <x v="585"/>
    <x v="2"/>
    <x v="3"/>
    <n v="67.08"/>
    <x v="299"/>
    <x v="4"/>
    <x v="2"/>
    <x v="585"/>
    <n v="8"/>
    <x v="3"/>
    <x v="4"/>
    <n v="268.32"/>
  </r>
  <r>
    <x v="586"/>
    <x v="337"/>
    <x v="586"/>
    <x v="0"/>
    <x v="2"/>
    <n v="522.08000000000004"/>
    <x v="418"/>
    <x v="3"/>
    <x v="2"/>
    <x v="586"/>
    <n v="5"/>
    <x v="1"/>
    <x v="1"/>
    <n v="522.08000000000004"/>
  </r>
  <r>
    <x v="587"/>
    <x v="439"/>
    <x v="587"/>
    <x v="0"/>
    <x v="0"/>
    <n v="514.6"/>
    <x v="419"/>
    <x v="3"/>
    <x v="3"/>
    <x v="587"/>
    <n v="10"/>
    <x v="1"/>
    <x v="0"/>
    <n v="2573"/>
  </r>
  <r>
    <x v="588"/>
    <x v="440"/>
    <x v="588"/>
    <x v="0"/>
    <x v="3"/>
    <n v="577.82000000000005"/>
    <x v="55"/>
    <x v="2"/>
    <x v="3"/>
    <x v="588"/>
    <n v="9"/>
    <x v="2"/>
    <x v="4"/>
    <n v="2311.2800000000002"/>
  </r>
  <r>
    <x v="589"/>
    <x v="441"/>
    <x v="589"/>
    <x v="5"/>
    <x v="1"/>
    <n v="500.8"/>
    <x v="420"/>
    <x v="4"/>
    <x v="3"/>
    <x v="589"/>
    <n v="3"/>
    <x v="1"/>
    <x v="1"/>
    <n v="1001.6"/>
  </r>
  <r>
    <x v="590"/>
    <x v="442"/>
    <x v="590"/>
    <x v="4"/>
    <x v="1"/>
    <n v="461.13"/>
    <x v="421"/>
    <x v="3"/>
    <x v="2"/>
    <x v="590"/>
    <n v="4"/>
    <x v="2"/>
    <x v="2"/>
    <n v="922.26"/>
  </r>
  <r>
    <x v="591"/>
    <x v="249"/>
    <x v="591"/>
    <x v="5"/>
    <x v="2"/>
    <n v="605.28"/>
    <x v="422"/>
    <x v="3"/>
    <x v="0"/>
    <x v="591"/>
    <n v="3"/>
    <x v="1"/>
    <x v="1"/>
    <n v="605.28"/>
  </r>
  <r>
    <x v="592"/>
    <x v="234"/>
    <x v="592"/>
    <x v="1"/>
    <x v="4"/>
    <n v="204.27"/>
    <x v="393"/>
    <x v="1"/>
    <x v="2"/>
    <x v="592"/>
    <n v="4"/>
    <x v="2"/>
    <x v="4"/>
    <n v="612.81000000000006"/>
  </r>
  <r>
    <x v="593"/>
    <x v="443"/>
    <x v="593"/>
    <x v="0"/>
    <x v="2"/>
    <n v="489.8"/>
    <x v="125"/>
    <x v="3"/>
    <x v="0"/>
    <x v="593"/>
    <n v="4"/>
    <x v="1"/>
    <x v="3"/>
    <n v="489.8"/>
  </r>
  <r>
    <x v="594"/>
    <x v="444"/>
    <x v="594"/>
    <x v="1"/>
    <x v="0"/>
    <n v="72.64"/>
    <x v="128"/>
    <x v="2"/>
    <x v="1"/>
    <x v="594"/>
    <n v="7"/>
    <x v="2"/>
    <x v="2"/>
    <n v="363.2"/>
  </r>
  <r>
    <x v="595"/>
    <x v="445"/>
    <x v="595"/>
    <x v="4"/>
    <x v="1"/>
    <n v="385.16"/>
    <x v="423"/>
    <x v="1"/>
    <x v="4"/>
    <x v="595"/>
    <n v="7"/>
    <x v="0"/>
    <x v="2"/>
    <n v="770.32"/>
  </r>
  <r>
    <x v="596"/>
    <x v="439"/>
    <x v="596"/>
    <x v="6"/>
    <x v="4"/>
    <n v="606.41"/>
    <x v="424"/>
    <x v="0"/>
    <x v="2"/>
    <x v="596"/>
    <n v="7"/>
    <x v="1"/>
    <x v="3"/>
    <n v="1819.23"/>
  </r>
  <r>
    <x v="597"/>
    <x v="446"/>
    <x v="597"/>
    <x v="6"/>
    <x v="1"/>
    <n v="211.82"/>
    <x v="425"/>
    <x v="3"/>
    <x v="1"/>
    <x v="597"/>
    <n v="4"/>
    <x v="3"/>
    <x v="2"/>
    <n v="423.64"/>
  </r>
  <r>
    <x v="598"/>
    <x v="447"/>
    <x v="598"/>
    <x v="6"/>
    <x v="0"/>
    <n v="495.35"/>
    <x v="283"/>
    <x v="2"/>
    <x v="4"/>
    <x v="598"/>
    <n v="5"/>
    <x v="2"/>
    <x v="3"/>
    <n v="2476.75"/>
  </r>
  <r>
    <x v="599"/>
    <x v="30"/>
    <x v="599"/>
    <x v="3"/>
    <x v="4"/>
    <n v="556.99"/>
    <x v="329"/>
    <x v="1"/>
    <x v="1"/>
    <x v="599"/>
    <n v="4"/>
    <x v="1"/>
    <x v="3"/>
    <n v="1670.97"/>
  </r>
  <r>
    <x v="600"/>
    <x v="68"/>
    <x v="600"/>
    <x v="4"/>
    <x v="2"/>
    <n v="72.31"/>
    <x v="223"/>
    <x v="3"/>
    <x v="1"/>
    <x v="600"/>
    <n v="1"/>
    <x v="1"/>
    <x v="3"/>
    <n v="72.31"/>
  </r>
  <r>
    <x v="601"/>
    <x v="276"/>
    <x v="601"/>
    <x v="0"/>
    <x v="0"/>
    <n v="24.82"/>
    <x v="426"/>
    <x v="2"/>
    <x v="0"/>
    <x v="601"/>
    <n v="10"/>
    <x v="2"/>
    <x v="1"/>
    <n v="124.1"/>
  </r>
  <r>
    <x v="602"/>
    <x v="448"/>
    <x v="482"/>
    <x v="2"/>
    <x v="3"/>
    <n v="26.04"/>
    <x v="372"/>
    <x v="1"/>
    <x v="4"/>
    <x v="602"/>
    <n v="5"/>
    <x v="0"/>
    <x v="0"/>
    <n v="104.16"/>
  </r>
  <r>
    <x v="603"/>
    <x v="449"/>
    <x v="602"/>
    <x v="2"/>
    <x v="2"/>
    <n v="657.07"/>
    <x v="427"/>
    <x v="4"/>
    <x v="4"/>
    <x v="603"/>
    <n v="4"/>
    <x v="0"/>
    <x v="4"/>
    <n v="657.07"/>
  </r>
  <r>
    <x v="604"/>
    <x v="450"/>
    <x v="603"/>
    <x v="3"/>
    <x v="4"/>
    <n v="32.619999999999997"/>
    <x v="251"/>
    <x v="0"/>
    <x v="3"/>
    <x v="604"/>
    <n v="6"/>
    <x v="2"/>
    <x v="3"/>
    <n v="97.859999999999985"/>
  </r>
  <r>
    <x v="605"/>
    <x v="451"/>
    <x v="604"/>
    <x v="0"/>
    <x v="1"/>
    <n v="228.91"/>
    <x v="428"/>
    <x v="0"/>
    <x v="0"/>
    <x v="605"/>
    <n v="4"/>
    <x v="0"/>
    <x v="1"/>
    <n v="457.82"/>
  </r>
  <r>
    <x v="606"/>
    <x v="119"/>
    <x v="605"/>
    <x v="5"/>
    <x v="4"/>
    <n v="274.75"/>
    <x v="204"/>
    <x v="4"/>
    <x v="1"/>
    <x v="606"/>
    <n v="3"/>
    <x v="0"/>
    <x v="4"/>
    <n v="824.25"/>
  </r>
  <r>
    <x v="607"/>
    <x v="133"/>
    <x v="606"/>
    <x v="4"/>
    <x v="3"/>
    <n v="634.04999999999995"/>
    <x v="429"/>
    <x v="4"/>
    <x v="0"/>
    <x v="607"/>
    <n v="6"/>
    <x v="0"/>
    <x v="4"/>
    <n v="2536.1999999999998"/>
  </r>
  <r>
    <x v="608"/>
    <x v="25"/>
    <x v="607"/>
    <x v="5"/>
    <x v="0"/>
    <n v="543.16"/>
    <x v="430"/>
    <x v="1"/>
    <x v="1"/>
    <x v="608"/>
    <n v="6"/>
    <x v="0"/>
    <x v="0"/>
    <n v="2715.8"/>
  </r>
  <r>
    <x v="609"/>
    <x v="109"/>
    <x v="608"/>
    <x v="3"/>
    <x v="4"/>
    <n v="449.13"/>
    <x v="431"/>
    <x v="4"/>
    <x v="2"/>
    <x v="609"/>
    <n v="5"/>
    <x v="3"/>
    <x v="1"/>
    <n v="1347.39"/>
  </r>
  <r>
    <x v="610"/>
    <x v="452"/>
    <x v="609"/>
    <x v="6"/>
    <x v="0"/>
    <n v="389.62"/>
    <x v="50"/>
    <x v="4"/>
    <x v="2"/>
    <x v="610"/>
    <n v="7"/>
    <x v="1"/>
    <x v="3"/>
    <n v="1948.1"/>
  </r>
  <r>
    <x v="611"/>
    <x v="453"/>
    <x v="610"/>
    <x v="6"/>
    <x v="2"/>
    <n v="305.17"/>
    <x v="425"/>
    <x v="3"/>
    <x v="2"/>
    <x v="611"/>
    <n v="3"/>
    <x v="3"/>
    <x v="1"/>
    <n v="305.17"/>
  </r>
  <r>
    <x v="612"/>
    <x v="454"/>
    <x v="611"/>
    <x v="3"/>
    <x v="4"/>
    <n v="445.12"/>
    <x v="268"/>
    <x v="3"/>
    <x v="1"/>
    <x v="612"/>
    <n v="8"/>
    <x v="2"/>
    <x v="4"/>
    <n v="1335.36"/>
  </r>
  <r>
    <x v="613"/>
    <x v="36"/>
    <x v="612"/>
    <x v="5"/>
    <x v="1"/>
    <n v="230.36"/>
    <x v="432"/>
    <x v="1"/>
    <x v="2"/>
    <x v="613"/>
    <n v="4"/>
    <x v="3"/>
    <x v="2"/>
    <n v="460.72"/>
  </r>
  <r>
    <x v="614"/>
    <x v="455"/>
    <x v="613"/>
    <x v="1"/>
    <x v="2"/>
    <n v="96.81"/>
    <x v="111"/>
    <x v="3"/>
    <x v="1"/>
    <x v="614"/>
    <n v="3"/>
    <x v="2"/>
    <x v="1"/>
    <n v="96.81"/>
  </r>
  <r>
    <x v="615"/>
    <x v="456"/>
    <x v="614"/>
    <x v="0"/>
    <x v="0"/>
    <n v="460.14"/>
    <x v="251"/>
    <x v="2"/>
    <x v="2"/>
    <x v="615"/>
    <n v="10"/>
    <x v="3"/>
    <x v="3"/>
    <n v="2300.6999999999998"/>
  </r>
  <r>
    <x v="616"/>
    <x v="457"/>
    <x v="615"/>
    <x v="2"/>
    <x v="4"/>
    <n v="601.6"/>
    <x v="433"/>
    <x v="2"/>
    <x v="1"/>
    <x v="616"/>
    <n v="7"/>
    <x v="0"/>
    <x v="3"/>
    <n v="1804.8"/>
  </r>
  <r>
    <x v="617"/>
    <x v="458"/>
    <x v="616"/>
    <x v="2"/>
    <x v="4"/>
    <n v="184.47"/>
    <x v="434"/>
    <x v="1"/>
    <x v="1"/>
    <x v="617"/>
    <n v="4"/>
    <x v="2"/>
    <x v="1"/>
    <n v="553.41"/>
  </r>
  <r>
    <x v="618"/>
    <x v="459"/>
    <x v="617"/>
    <x v="2"/>
    <x v="2"/>
    <n v="411.34"/>
    <x v="435"/>
    <x v="0"/>
    <x v="2"/>
    <x v="618"/>
    <n v="5"/>
    <x v="2"/>
    <x v="0"/>
    <n v="411.34"/>
  </r>
  <r>
    <x v="619"/>
    <x v="424"/>
    <x v="618"/>
    <x v="5"/>
    <x v="2"/>
    <n v="532.89"/>
    <x v="373"/>
    <x v="3"/>
    <x v="4"/>
    <x v="619"/>
    <n v="2"/>
    <x v="2"/>
    <x v="1"/>
    <n v="532.89"/>
  </r>
  <r>
    <x v="620"/>
    <x v="460"/>
    <x v="619"/>
    <x v="2"/>
    <x v="4"/>
    <n v="136.34"/>
    <x v="436"/>
    <x v="0"/>
    <x v="2"/>
    <x v="620"/>
    <n v="8"/>
    <x v="0"/>
    <x v="1"/>
    <n v="409.02"/>
  </r>
  <r>
    <x v="621"/>
    <x v="356"/>
    <x v="620"/>
    <x v="1"/>
    <x v="0"/>
    <n v="476.01"/>
    <x v="72"/>
    <x v="2"/>
    <x v="3"/>
    <x v="621"/>
    <n v="7"/>
    <x v="3"/>
    <x v="4"/>
    <n v="2380.0500000000002"/>
  </r>
  <r>
    <x v="622"/>
    <x v="461"/>
    <x v="621"/>
    <x v="6"/>
    <x v="0"/>
    <n v="236.38"/>
    <x v="35"/>
    <x v="2"/>
    <x v="2"/>
    <x v="622"/>
    <n v="7"/>
    <x v="2"/>
    <x v="3"/>
    <n v="1181.9000000000001"/>
  </r>
  <r>
    <x v="623"/>
    <x v="379"/>
    <x v="622"/>
    <x v="4"/>
    <x v="4"/>
    <n v="396"/>
    <x v="437"/>
    <x v="3"/>
    <x v="1"/>
    <x v="623"/>
    <n v="4"/>
    <x v="1"/>
    <x v="0"/>
    <n v="1188"/>
  </r>
  <r>
    <x v="624"/>
    <x v="462"/>
    <x v="623"/>
    <x v="2"/>
    <x v="0"/>
    <n v="341.96"/>
    <x v="300"/>
    <x v="0"/>
    <x v="3"/>
    <x v="624"/>
    <n v="6"/>
    <x v="2"/>
    <x v="2"/>
    <n v="1709.8"/>
  </r>
  <r>
    <x v="625"/>
    <x v="463"/>
    <x v="624"/>
    <x v="2"/>
    <x v="2"/>
    <n v="672.89"/>
    <x v="438"/>
    <x v="2"/>
    <x v="4"/>
    <x v="625"/>
    <n v="1"/>
    <x v="3"/>
    <x v="2"/>
    <n v="672.89"/>
  </r>
  <r>
    <x v="626"/>
    <x v="417"/>
    <x v="625"/>
    <x v="2"/>
    <x v="1"/>
    <n v="657.48"/>
    <x v="335"/>
    <x v="1"/>
    <x v="0"/>
    <x v="626"/>
    <n v="5"/>
    <x v="0"/>
    <x v="1"/>
    <n v="1314.96"/>
  </r>
  <r>
    <x v="627"/>
    <x v="464"/>
    <x v="626"/>
    <x v="3"/>
    <x v="4"/>
    <n v="498.68"/>
    <x v="402"/>
    <x v="1"/>
    <x v="2"/>
    <x v="627"/>
    <n v="4"/>
    <x v="1"/>
    <x v="2"/>
    <n v="1496.04"/>
  </r>
  <r>
    <x v="628"/>
    <x v="465"/>
    <x v="627"/>
    <x v="4"/>
    <x v="0"/>
    <n v="558.63"/>
    <x v="439"/>
    <x v="4"/>
    <x v="4"/>
    <x v="628"/>
    <n v="8"/>
    <x v="1"/>
    <x v="1"/>
    <n v="2793.15"/>
  </r>
  <r>
    <x v="629"/>
    <x v="466"/>
    <x v="628"/>
    <x v="1"/>
    <x v="4"/>
    <n v="19.73"/>
    <x v="440"/>
    <x v="1"/>
    <x v="4"/>
    <x v="629"/>
    <n v="3"/>
    <x v="2"/>
    <x v="1"/>
    <n v="59.19"/>
  </r>
  <r>
    <x v="630"/>
    <x v="467"/>
    <x v="629"/>
    <x v="0"/>
    <x v="0"/>
    <n v="248.84"/>
    <x v="441"/>
    <x v="0"/>
    <x v="1"/>
    <x v="630"/>
    <n v="10"/>
    <x v="2"/>
    <x v="0"/>
    <n v="1244.2"/>
  </r>
  <r>
    <x v="631"/>
    <x v="169"/>
    <x v="630"/>
    <x v="3"/>
    <x v="4"/>
    <n v="46.11"/>
    <x v="235"/>
    <x v="3"/>
    <x v="2"/>
    <x v="631"/>
    <n v="5"/>
    <x v="3"/>
    <x v="1"/>
    <n v="138.33000000000001"/>
  </r>
  <r>
    <x v="632"/>
    <x v="468"/>
    <x v="631"/>
    <x v="5"/>
    <x v="0"/>
    <n v="678.16"/>
    <x v="219"/>
    <x v="3"/>
    <x v="3"/>
    <x v="632"/>
    <n v="7"/>
    <x v="3"/>
    <x v="3"/>
    <n v="3390.8"/>
  </r>
  <r>
    <x v="633"/>
    <x v="294"/>
    <x v="632"/>
    <x v="5"/>
    <x v="0"/>
    <n v="601.72"/>
    <x v="318"/>
    <x v="3"/>
    <x v="1"/>
    <x v="633"/>
    <n v="5"/>
    <x v="3"/>
    <x v="0"/>
    <n v="3008.6"/>
  </r>
  <r>
    <x v="634"/>
    <x v="313"/>
    <x v="633"/>
    <x v="4"/>
    <x v="1"/>
    <n v="259.32"/>
    <x v="442"/>
    <x v="3"/>
    <x v="3"/>
    <x v="634"/>
    <n v="2"/>
    <x v="3"/>
    <x v="1"/>
    <n v="518.64"/>
  </r>
  <r>
    <x v="635"/>
    <x v="141"/>
    <x v="634"/>
    <x v="3"/>
    <x v="4"/>
    <n v="63.68"/>
    <x v="48"/>
    <x v="4"/>
    <x v="2"/>
    <x v="635"/>
    <n v="6"/>
    <x v="2"/>
    <x v="3"/>
    <n v="191.04"/>
  </r>
  <r>
    <x v="636"/>
    <x v="469"/>
    <x v="635"/>
    <x v="5"/>
    <x v="3"/>
    <n v="371.07"/>
    <x v="154"/>
    <x v="4"/>
    <x v="1"/>
    <x v="636"/>
    <n v="7"/>
    <x v="3"/>
    <x v="3"/>
    <n v="1484.28"/>
  </r>
  <r>
    <x v="637"/>
    <x v="470"/>
    <x v="636"/>
    <x v="3"/>
    <x v="3"/>
    <n v="306.35000000000002"/>
    <x v="443"/>
    <x v="3"/>
    <x v="0"/>
    <x v="637"/>
    <n v="7"/>
    <x v="3"/>
    <x v="1"/>
    <n v="1225.4000000000001"/>
  </r>
  <r>
    <x v="638"/>
    <x v="3"/>
    <x v="637"/>
    <x v="2"/>
    <x v="3"/>
    <n v="578.27"/>
    <x v="444"/>
    <x v="1"/>
    <x v="3"/>
    <x v="638"/>
    <n v="9"/>
    <x v="3"/>
    <x v="2"/>
    <n v="2313.08"/>
  </r>
  <r>
    <x v="639"/>
    <x v="325"/>
    <x v="638"/>
    <x v="3"/>
    <x v="2"/>
    <n v="529.19000000000005"/>
    <x v="362"/>
    <x v="4"/>
    <x v="1"/>
    <x v="639"/>
    <n v="5"/>
    <x v="2"/>
    <x v="1"/>
    <n v="529.19000000000005"/>
  </r>
  <r>
    <x v="640"/>
    <x v="2"/>
    <x v="639"/>
    <x v="3"/>
    <x v="1"/>
    <n v="587.49"/>
    <x v="97"/>
    <x v="3"/>
    <x v="2"/>
    <x v="640"/>
    <n v="6"/>
    <x v="0"/>
    <x v="1"/>
    <n v="1174.98"/>
  </r>
  <r>
    <x v="641"/>
    <x v="471"/>
    <x v="640"/>
    <x v="4"/>
    <x v="3"/>
    <n v="567.57000000000005"/>
    <x v="217"/>
    <x v="0"/>
    <x v="4"/>
    <x v="641"/>
    <n v="9"/>
    <x v="3"/>
    <x v="4"/>
    <n v="2270.2800000000002"/>
  </r>
  <r>
    <x v="642"/>
    <x v="472"/>
    <x v="641"/>
    <x v="3"/>
    <x v="0"/>
    <n v="85.22"/>
    <x v="445"/>
    <x v="2"/>
    <x v="1"/>
    <x v="642"/>
    <n v="7"/>
    <x v="1"/>
    <x v="2"/>
    <n v="426.1"/>
  </r>
  <r>
    <x v="643"/>
    <x v="360"/>
    <x v="642"/>
    <x v="5"/>
    <x v="2"/>
    <n v="438.37"/>
    <x v="97"/>
    <x v="4"/>
    <x v="1"/>
    <x v="643"/>
    <n v="4"/>
    <x v="0"/>
    <x v="1"/>
    <n v="438.37"/>
  </r>
  <r>
    <x v="644"/>
    <x v="375"/>
    <x v="643"/>
    <x v="3"/>
    <x v="1"/>
    <n v="366.23"/>
    <x v="446"/>
    <x v="4"/>
    <x v="0"/>
    <x v="644"/>
    <n v="2"/>
    <x v="3"/>
    <x v="2"/>
    <n v="732.46"/>
  </r>
  <r>
    <x v="645"/>
    <x v="315"/>
    <x v="644"/>
    <x v="5"/>
    <x v="1"/>
    <n v="150.05000000000001"/>
    <x v="115"/>
    <x v="2"/>
    <x v="1"/>
    <x v="645"/>
    <n v="4"/>
    <x v="0"/>
    <x v="3"/>
    <n v="300.10000000000002"/>
  </r>
  <r>
    <x v="646"/>
    <x v="122"/>
    <x v="645"/>
    <x v="3"/>
    <x v="3"/>
    <n v="498.51"/>
    <x v="447"/>
    <x v="0"/>
    <x v="0"/>
    <x v="646"/>
    <n v="4"/>
    <x v="0"/>
    <x v="4"/>
    <n v="1994.04"/>
  </r>
  <r>
    <x v="647"/>
    <x v="473"/>
    <x v="646"/>
    <x v="6"/>
    <x v="4"/>
    <n v="339.39"/>
    <x v="148"/>
    <x v="4"/>
    <x v="2"/>
    <x v="647"/>
    <n v="7"/>
    <x v="1"/>
    <x v="4"/>
    <n v="1018.17"/>
  </r>
  <r>
    <x v="648"/>
    <x v="474"/>
    <x v="647"/>
    <x v="0"/>
    <x v="1"/>
    <n v="575.83000000000004"/>
    <x v="448"/>
    <x v="1"/>
    <x v="3"/>
    <x v="648"/>
    <n v="3"/>
    <x v="3"/>
    <x v="1"/>
    <n v="1151.6600000000001"/>
  </r>
  <r>
    <x v="649"/>
    <x v="475"/>
    <x v="648"/>
    <x v="0"/>
    <x v="1"/>
    <n v="642.98"/>
    <x v="222"/>
    <x v="0"/>
    <x v="2"/>
    <x v="649"/>
    <n v="7"/>
    <x v="1"/>
    <x v="2"/>
    <n v="1285.96"/>
  </r>
  <r>
    <x v="650"/>
    <x v="419"/>
    <x v="649"/>
    <x v="6"/>
    <x v="1"/>
    <n v="372.23"/>
    <x v="449"/>
    <x v="3"/>
    <x v="3"/>
    <x v="650"/>
    <n v="7"/>
    <x v="0"/>
    <x v="2"/>
    <n v="744.46"/>
  </r>
  <r>
    <x v="651"/>
    <x v="476"/>
    <x v="650"/>
    <x v="3"/>
    <x v="4"/>
    <n v="646.34"/>
    <x v="174"/>
    <x v="0"/>
    <x v="4"/>
    <x v="651"/>
    <n v="5"/>
    <x v="2"/>
    <x v="4"/>
    <n v="1939.02"/>
  </r>
  <r>
    <x v="652"/>
    <x v="477"/>
    <x v="651"/>
    <x v="3"/>
    <x v="0"/>
    <n v="341.84"/>
    <x v="450"/>
    <x v="1"/>
    <x v="0"/>
    <x v="652"/>
    <n v="8"/>
    <x v="1"/>
    <x v="0"/>
    <n v="1709.2"/>
  </r>
  <r>
    <x v="653"/>
    <x v="402"/>
    <x v="652"/>
    <x v="4"/>
    <x v="4"/>
    <n v="690.3"/>
    <x v="300"/>
    <x v="2"/>
    <x v="0"/>
    <x v="653"/>
    <n v="6"/>
    <x v="3"/>
    <x v="4"/>
    <n v="2070.9"/>
  </r>
  <r>
    <x v="654"/>
    <x v="439"/>
    <x v="653"/>
    <x v="2"/>
    <x v="4"/>
    <n v="382.37"/>
    <x v="451"/>
    <x v="0"/>
    <x v="2"/>
    <x v="654"/>
    <n v="8"/>
    <x v="2"/>
    <x v="0"/>
    <n v="1147.1099999999999"/>
  </r>
  <r>
    <x v="655"/>
    <x v="369"/>
    <x v="654"/>
    <x v="3"/>
    <x v="1"/>
    <n v="132.6"/>
    <x v="348"/>
    <x v="0"/>
    <x v="1"/>
    <x v="655"/>
    <n v="4"/>
    <x v="3"/>
    <x v="2"/>
    <n v="265.2"/>
  </r>
  <r>
    <x v="656"/>
    <x v="343"/>
    <x v="655"/>
    <x v="0"/>
    <x v="1"/>
    <n v="189.06"/>
    <x v="452"/>
    <x v="3"/>
    <x v="0"/>
    <x v="656"/>
    <n v="7"/>
    <x v="0"/>
    <x v="3"/>
    <n v="378.12"/>
  </r>
  <r>
    <x v="657"/>
    <x v="478"/>
    <x v="656"/>
    <x v="2"/>
    <x v="3"/>
    <n v="87.79"/>
    <x v="275"/>
    <x v="4"/>
    <x v="1"/>
    <x v="657"/>
    <n v="6"/>
    <x v="1"/>
    <x v="0"/>
    <n v="351.16"/>
  </r>
  <r>
    <x v="658"/>
    <x v="479"/>
    <x v="657"/>
    <x v="4"/>
    <x v="1"/>
    <n v="46.36"/>
    <x v="247"/>
    <x v="3"/>
    <x v="2"/>
    <x v="658"/>
    <n v="4"/>
    <x v="0"/>
    <x v="4"/>
    <n v="92.72"/>
  </r>
  <r>
    <x v="659"/>
    <x v="480"/>
    <x v="658"/>
    <x v="1"/>
    <x v="1"/>
    <n v="642.04"/>
    <x v="403"/>
    <x v="3"/>
    <x v="3"/>
    <x v="659"/>
    <n v="4"/>
    <x v="3"/>
    <x v="2"/>
    <n v="1284.08"/>
  </r>
  <r>
    <x v="660"/>
    <x v="481"/>
    <x v="659"/>
    <x v="3"/>
    <x v="1"/>
    <n v="651.57000000000005"/>
    <x v="133"/>
    <x v="0"/>
    <x v="0"/>
    <x v="660"/>
    <n v="7"/>
    <x v="3"/>
    <x v="3"/>
    <n v="1303.1400000000001"/>
  </r>
  <r>
    <x v="661"/>
    <x v="252"/>
    <x v="660"/>
    <x v="2"/>
    <x v="4"/>
    <n v="424.89"/>
    <x v="453"/>
    <x v="0"/>
    <x v="1"/>
    <x v="661"/>
    <n v="6"/>
    <x v="1"/>
    <x v="4"/>
    <n v="1274.67"/>
  </r>
  <r>
    <x v="662"/>
    <x v="423"/>
    <x v="661"/>
    <x v="5"/>
    <x v="4"/>
    <n v="438.89"/>
    <x v="454"/>
    <x v="4"/>
    <x v="2"/>
    <x v="662"/>
    <n v="3"/>
    <x v="2"/>
    <x v="3"/>
    <n v="1316.67"/>
  </r>
  <r>
    <x v="663"/>
    <x v="116"/>
    <x v="662"/>
    <x v="0"/>
    <x v="2"/>
    <n v="72.599999999999994"/>
    <x v="390"/>
    <x v="0"/>
    <x v="1"/>
    <x v="663"/>
    <n v="6"/>
    <x v="1"/>
    <x v="0"/>
    <n v="72.599999999999994"/>
  </r>
  <r>
    <x v="664"/>
    <x v="36"/>
    <x v="236"/>
    <x v="5"/>
    <x v="3"/>
    <n v="194.75"/>
    <x v="455"/>
    <x v="4"/>
    <x v="0"/>
    <x v="664"/>
    <n v="5"/>
    <x v="2"/>
    <x v="3"/>
    <n v="779"/>
  </r>
  <r>
    <x v="665"/>
    <x v="468"/>
    <x v="663"/>
    <x v="2"/>
    <x v="3"/>
    <n v="231.26"/>
    <x v="456"/>
    <x v="1"/>
    <x v="0"/>
    <x v="665"/>
    <n v="6"/>
    <x v="3"/>
    <x v="4"/>
    <n v="925.04"/>
  </r>
  <r>
    <x v="666"/>
    <x v="169"/>
    <x v="664"/>
    <x v="0"/>
    <x v="3"/>
    <n v="327.12"/>
    <x v="430"/>
    <x v="2"/>
    <x v="1"/>
    <x v="666"/>
    <n v="4"/>
    <x v="2"/>
    <x v="2"/>
    <n v="1308.48"/>
  </r>
  <r>
    <x v="667"/>
    <x v="71"/>
    <x v="665"/>
    <x v="5"/>
    <x v="2"/>
    <n v="466.42"/>
    <x v="180"/>
    <x v="3"/>
    <x v="4"/>
    <x v="667"/>
    <n v="5"/>
    <x v="0"/>
    <x v="2"/>
    <n v="466.42"/>
  </r>
  <r>
    <x v="668"/>
    <x v="482"/>
    <x v="666"/>
    <x v="0"/>
    <x v="1"/>
    <n v="253.67"/>
    <x v="139"/>
    <x v="4"/>
    <x v="2"/>
    <x v="668"/>
    <n v="3"/>
    <x v="3"/>
    <x v="3"/>
    <n v="507.34"/>
  </r>
  <r>
    <x v="669"/>
    <x v="483"/>
    <x v="667"/>
    <x v="6"/>
    <x v="2"/>
    <n v="257"/>
    <x v="457"/>
    <x v="0"/>
    <x v="1"/>
    <x v="669"/>
    <n v="5"/>
    <x v="2"/>
    <x v="1"/>
    <n v="257"/>
  </r>
  <r>
    <x v="670"/>
    <x v="171"/>
    <x v="668"/>
    <x v="6"/>
    <x v="3"/>
    <n v="539.20000000000005"/>
    <x v="300"/>
    <x v="2"/>
    <x v="4"/>
    <x v="670"/>
    <n v="8"/>
    <x v="1"/>
    <x v="4"/>
    <n v="2156.8000000000002"/>
  </r>
  <r>
    <x v="671"/>
    <x v="484"/>
    <x v="669"/>
    <x v="3"/>
    <x v="0"/>
    <n v="50.74"/>
    <x v="144"/>
    <x v="3"/>
    <x v="1"/>
    <x v="671"/>
    <n v="7"/>
    <x v="3"/>
    <x v="4"/>
    <n v="253.7"/>
  </r>
  <r>
    <x v="672"/>
    <x v="221"/>
    <x v="670"/>
    <x v="1"/>
    <x v="1"/>
    <n v="624.16"/>
    <x v="433"/>
    <x v="0"/>
    <x v="0"/>
    <x v="672"/>
    <n v="2"/>
    <x v="0"/>
    <x v="0"/>
    <n v="1248.32"/>
  </r>
  <r>
    <x v="673"/>
    <x v="485"/>
    <x v="671"/>
    <x v="2"/>
    <x v="1"/>
    <n v="372.92"/>
    <x v="102"/>
    <x v="2"/>
    <x v="3"/>
    <x v="673"/>
    <n v="7"/>
    <x v="0"/>
    <x v="2"/>
    <n v="745.84"/>
  </r>
  <r>
    <x v="674"/>
    <x v="486"/>
    <x v="672"/>
    <x v="5"/>
    <x v="3"/>
    <n v="358.75"/>
    <x v="458"/>
    <x v="3"/>
    <x v="3"/>
    <x v="674"/>
    <n v="9"/>
    <x v="0"/>
    <x v="3"/>
    <n v="1435"/>
  </r>
  <r>
    <x v="675"/>
    <x v="76"/>
    <x v="673"/>
    <x v="6"/>
    <x v="4"/>
    <n v="342.02"/>
    <x v="397"/>
    <x v="0"/>
    <x v="4"/>
    <x v="675"/>
    <n v="5"/>
    <x v="2"/>
    <x v="2"/>
    <n v="1026.06"/>
  </r>
  <r>
    <x v="676"/>
    <x v="127"/>
    <x v="674"/>
    <x v="5"/>
    <x v="1"/>
    <n v="422.34"/>
    <x v="454"/>
    <x v="2"/>
    <x v="1"/>
    <x v="676"/>
    <n v="4"/>
    <x v="1"/>
    <x v="0"/>
    <n v="844.68"/>
  </r>
  <r>
    <x v="677"/>
    <x v="487"/>
    <x v="675"/>
    <x v="2"/>
    <x v="0"/>
    <n v="22.07"/>
    <x v="12"/>
    <x v="1"/>
    <x v="1"/>
    <x v="677"/>
    <n v="7"/>
    <x v="1"/>
    <x v="0"/>
    <n v="110.35"/>
  </r>
  <r>
    <x v="678"/>
    <x v="167"/>
    <x v="676"/>
    <x v="3"/>
    <x v="4"/>
    <n v="163.13"/>
    <x v="190"/>
    <x v="3"/>
    <x v="0"/>
    <x v="678"/>
    <n v="5"/>
    <x v="3"/>
    <x v="3"/>
    <n v="489.39"/>
  </r>
  <r>
    <x v="679"/>
    <x v="488"/>
    <x v="677"/>
    <x v="2"/>
    <x v="4"/>
    <n v="360.66"/>
    <x v="323"/>
    <x v="1"/>
    <x v="2"/>
    <x v="679"/>
    <n v="5"/>
    <x v="1"/>
    <x v="0"/>
    <n v="1081.98"/>
  </r>
  <r>
    <x v="680"/>
    <x v="183"/>
    <x v="678"/>
    <x v="0"/>
    <x v="4"/>
    <n v="463.39"/>
    <x v="459"/>
    <x v="2"/>
    <x v="2"/>
    <x v="680"/>
    <n v="3"/>
    <x v="2"/>
    <x v="3"/>
    <n v="1390.17"/>
  </r>
  <r>
    <x v="681"/>
    <x v="489"/>
    <x v="679"/>
    <x v="2"/>
    <x v="2"/>
    <n v="155.27000000000001"/>
    <x v="460"/>
    <x v="0"/>
    <x v="0"/>
    <x v="681"/>
    <n v="6"/>
    <x v="2"/>
    <x v="2"/>
    <n v="155.27000000000001"/>
  </r>
  <r>
    <x v="682"/>
    <x v="363"/>
    <x v="680"/>
    <x v="0"/>
    <x v="4"/>
    <n v="509.42"/>
    <x v="367"/>
    <x v="2"/>
    <x v="1"/>
    <x v="682"/>
    <n v="5"/>
    <x v="1"/>
    <x v="4"/>
    <n v="1528.26"/>
  </r>
  <r>
    <x v="683"/>
    <x v="490"/>
    <x v="681"/>
    <x v="6"/>
    <x v="3"/>
    <n v="652.48"/>
    <x v="461"/>
    <x v="4"/>
    <x v="4"/>
    <x v="683"/>
    <n v="5"/>
    <x v="1"/>
    <x v="0"/>
    <n v="2609.92"/>
  </r>
  <r>
    <x v="684"/>
    <x v="491"/>
    <x v="682"/>
    <x v="4"/>
    <x v="3"/>
    <n v="34.840000000000003"/>
    <x v="462"/>
    <x v="2"/>
    <x v="0"/>
    <x v="684"/>
    <n v="8"/>
    <x v="2"/>
    <x v="2"/>
    <n v="139.36000000000001"/>
  </r>
  <r>
    <x v="685"/>
    <x v="492"/>
    <x v="683"/>
    <x v="6"/>
    <x v="2"/>
    <n v="234.37"/>
    <x v="463"/>
    <x v="0"/>
    <x v="0"/>
    <x v="685"/>
    <n v="5"/>
    <x v="1"/>
    <x v="2"/>
    <n v="234.37"/>
  </r>
  <r>
    <x v="686"/>
    <x v="112"/>
    <x v="684"/>
    <x v="6"/>
    <x v="4"/>
    <n v="53.6"/>
    <x v="464"/>
    <x v="4"/>
    <x v="4"/>
    <x v="686"/>
    <n v="4"/>
    <x v="3"/>
    <x v="3"/>
    <n v="160.80000000000001"/>
  </r>
  <r>
    <x v="687"/>
    <x v="493"/>
    <x v="685"/>
    <x v="2"/>
    <x v="2"/>
    <n v="332.09"/>
    <x v="465"/>
    <x v="3"/>
    <x v="2"/>
    <x v="687"/>
    <n v="5"/>
    <x v="1"/>
    <x v="0"/>
    <n v="332.09"/>
  </r>
  <r>
    <x v="688"/>
    <x v="26"/>
    <x v="686"/>
    <x v="0"/>
    <x v="3"/>
    <n v="593.22"/>
    <x v="432"/>
    <x v="2"/>
    <x v="1"/>
    <x v="688"/>
    <n v="8"/>
    <x v="3"/>
    <x v="3"/>
    <n v="2372.88"/>
  </r>
  <r>
    <x v="689"/>
    <x v="193"/>
    <x v="687"/>
    <x v="2"/>
    <x v="1"/>
    <n v="444.84"/>
    <x v="466"/>
    <x v="1"/>
    <x v="0"/>
    <x v="689"/>
    <n v="7"/>
    <x v="2"/>
    <x v="3"/>
    <n v="889.68"/>
  </r>
  <r>
    <x v="690"/>
    <x v="494"/>
    <x v="688"/>
    <x v="0"/>
    <x v="2"/>
    <n v="24.48"/>
    <x v="35"/>
    <x v="3"/>
    <x v="2"/>
    <x v="690"/>
    <n v="1"/>
    <x v="2"/>
    <x v="0"/>
    <n v="24.48"/>
  </r>
  <r>
    <x v="691"/>
    <x v="167"/>
    <x v="689"/>
    <x v="5"/>
    <x v="4"/>
    <n v="239.08"/>
    <x v="467"/>
    <x v="4"/>
    <x v="0"/>
    <x v="691"/>
    <n v="8"/>
    <x v="2"/>
    <x v="4"/>
    <n v="717.24"/>
  </r>
  <r>
    <x v="692"/>
    <x v="19"/>
    <x v="690"/>
    <x v="6"/>
    <x v="0"/>
    <n v="196.84"/>
    <x v="322"/>
    <x v="2"/>
    <x v="3"/>
    <x v="692"/>
    <n v="5"/>
    <x v="3"/>
    <x v="0"/>
    <n v="984.2"/>
  </r>
  <r>
    <x v="693"/>
    <x v="495"/>
    <x v="691"/>
    <x v="0"/>
    <x v="2"/>
    <n v="176.58"/>
    <x v="468"/>
    <x v="0"/>
    <x v="2"/>
    <x v="693"/>
    <n v="4"/>
    <x v="2"/>
    <x v="1"/>
    <n v="176.58"/>
  </r>
  <r>
    <x v="694"/>
    <x v="276"/>
    <x v="692"/>
    <x v="4"/>
    <x v="3"/>
    <n v="666.52"/>
    <x v="285"/>
    <x v="4"/>
    <x v="0"/>
    <x v="694"/>
    <n v="8"/>
    <x v="1"/>
    <x v="2"/>
    <n v="2666.08"/>
  </r>
  <r>
    <x v="695"/>
    <x v="432"/>
    <x v="693"/>
    <x v="4"/>
    <x v="0"/>
    <n v="101.3"/>
    <x v="158"/>
    <x v="1"/>
    <x v="0"/>
    <x v="695"/>
    <n v="7"/>
    <x v="1"/>
    <x v="2"/>
    <n v="506.5"/>
  </r>
  <r>
    <x v="696"/>
    <x v="226"/>
    <x v="694"/>
    <x v="3"/>
    <x v="3"/>
    <n v="151.19999999999999"/>
    <x v="469"/>
    <x v="3"/>
    <x v="4"/>
    <x v="696"/>
    <n v="9"/>
    <x v="3"/>
    <x v="3"/>
    <n v="604.79999999999995"/>
  </r>
  <r>
    <x v="697"/>
    <x v="496"/>
    <x v="695"/>
    <x v="4"/>
    <x v="0"/>
    <n v="94.85"/>
    <x v="430"/>
    <x v="4"/>
    <x v="0"/>
    <x v="697"/>
    <n v="6"/>
    <x v="3"/>
    <x v="2"/>
    <n v="474.25"/>
  </r>
  <r>
    <x v="698"/>
    <x v="0"/>
    <x v="696"/>
    <x v="5"/>
    <x v="1"/>
    <n v="388.22"/>
    <x v="382"/>
    <x v="4"/>
    <x v="3"/>
    <x v="698"/>
    <n v="2"/>
    <x v="3"/>
    <x v="0"/>
    <n v="776.44"/>
  </r>
  <r>
    <x v="699"/>
    <x v="497"/>
    <x v="697"/>
    <x v="5"/>
    <x v="4"/>
    <n v="614.15"/>
    <x v="470"/>
    <x v="3"/>
    <x v="1"/>
    <x v="699"/>
    <n v="3"/>
    <x v="2"/>
    <x v="3"/>
    <n v="1842.45"/>
  </r>
  <r>
    <x v="700"/>
    <x v="498"/>
    <x v="698"/>
    <x v="5"/>
    <x v="1"/>
    <n v="92.91"/>
    <x v="471"/>
    <x v="4"/>
    <x v="2"/>
    <x v="700"/>
    <n v="3"/>
    <x v="3"/>
    <x v="0"/>
    <n v="185.82"/>
  </r>
  <r>
    <x v="701"/>
    <x v="499"/>
    <x v="699"/>
    <x v="0"/>
    <x v="4"/>
    <n v="92.22"/>
    <x v="107"/>
    <x v="2"/>
    <x v="3"/>
    <x v="701"/>
    <n v="5"/>
    <x v="1"/>
    <x v="2"/>
    <n v="276.66000000000003"/>
  </r>
  <r>
    <x v="702"/>
    <x v="410"/>
    <x v="700"/>
    <x v="4"/>
    <x v="4"/>
    <n v="562.54999999999995"/>
    <x v="432"/>
    <x v="0"/>
    <x v="2"/>
    <x v="702"/>
    <n v="6"/>
    <x v="2"/>
    <x v="2"/>
    <n v="1687.65"/>
  </r>
  <r>
    <x v="703"/>
    <x v="500"/>
    <x v="701"/>
    <x v="6"/>
    <x v="2"/>
    <n v="92.79"/>
    <x v="472"/>
    <x v="4"/>
    <x v="4"/>
    <x v="703"/>
    <n v="3"/>
    <x v="3"/>
    <x v="2"/>
    <n v="92.79"/>
  </r>
  <r>
    <x v="704"/>
    <x v="301"/>
    <x v="702"/>
    <x v="6"/>
    <x v="3"/>
    <n v="30.27"/>
    <x v="145"/>
    <x v="1"/>
    <x v="3"/>
    <x v="704"/>
    <n v="9"/>
    <x v="1"/>
    <x v="4"/>
    <n v="121.08"/>
  </r>
  <r>
    <x v="705"/>
    <x v="501"/>
    <x v="703"/>
    <x v="0"/>
    <x v="1"/>
    <n v="49.08"/>
    <x v="473"/>
    <x v="0"/>
    <x v="2"/>
    <x v="705"/>
    <n v="7"/>
    <x v="1"/>
    <x v="0"/>
    <n v="98.16"/>
  </r>
  <r>
    <x v="706"/>
    <x v="380"/>
    <x v="704"/>
    <x v="6"/>
    <x v="0"/>
    <n v="228.09"/>
    <x v="310"/>
    <x v="3"/>
    <x v="2"/>
    <x v="706"/>
    <n v="9"/>
    <x v="1"/>
    <x v="3"/>
    <n v="1140.45"/>
  </r>
  <r>
    <x v="707"/>
    <x v="377"/>
    <x v="705"/>
    <x v="3"/>
    <x v="3"/>
    <n v="650.04"/>
    <x v="77"/>
    <x v="3"/>
    <x v="1"/>
    <x v="707"/>
    <n v="6"/>
    <x v="0"/>
    <x v="3"/>
    <n v="2600.16"/>
  </r>
  <r>
    <x v="708"/>
    <x v="155"/>
    <x v="706"/>
    <x v="4"/>
    <x v="2"/>
    <n v="665.11"/>
    <x v="430"/>
    <x v="4"/>
    <x v="4"/>
    <x v="708"/>
    <n v="3"/>
    <x v="1"/>
    <x v="0"/>
    <n v="665.11"/>
  </r>
  <r>
    <x v="709"/>
    <x v="34"/>
    <x v="707"/>
    <x v="6"/>
    <x v="2"/>
    <n v="386.03"/>
    <x v="474"/>
    <x v="1"/>
    <x v="4"/>
    <x v="709"/>
    <n v="4"/>
    <x v="1"/>
    <x v="4"/>
    <n v="386.03"/>
  </r>
  <r>
    <x v="710"/>
    <x v="319"/>
    <x v="708"/>
    <x v="5"/>
    <x v="0"/>
    <n v="21.54"/>
    <x v="475"/>
    <x v="3"/>
    <x v="2"/>
    <x v="710"/>
    <n v="10"/>
    <x v="2"/>
    <x v="4"/>
    <n v="107.7"/>
  </r>
  <r>
    <x v="711"/>
    <x v="502"/>
    <x v="709"/>
    <x v="2"/>
    <x v="1"/>
    <n v="475.78"/>
    <x v="476"/>
    <x v="1"/>
    <x v="0"/>
    <x v="711"/>
    <n v="2"/>
    <x v="3"/>
    <x v="4"/>
    <n v="951.56"/>
  </r>
  <r>
    <x v="712"/>
    <x v="486"/>
    <x v="557"/>
    <x v="2"/>
    <x v="1"/>
    <n v="68.400000000000006"/>
    <x v="477"/>
    <x v="3"/>
    <x v="4"/>
    <x v="712"/>
    <n v="7"/>
    <x v="1"/>
    <x v="2"/>
    <n v="136.80000000000001"/>
  </r>
  <r>
    <x v="713"/>
    <x v="370"/>
    <x v="710"/>
    <x v="2"/>
    <x v="3"/>
    <n v="532.49"/>
    <x v="463"/>
    <x v="1"/>
    <x v="1"/>
    <x v="713"/>
    <n v="6"/>
    <x v="0"/>
    <x v="3"/>
    <n v="2129.96"/>
  </r>
  <r>
    <x v="714"/>
    <x v="453"/>
    <x v="711"/>
    <x v="5"/>
    <x v="2"/>
    <n v="51.73"/>
    <x v="250"/>
    <x v="0"/>
    <x v="4"/>
    <x v="714"/>
    <n v="1"/>
    <x v="1"/>
    <x v="3"/>
    <n v="51.73"/>
  </r>
  <r>
    <x v="715"/>
    <x v="503"/>
    <x v="712"/>
    <x v="4"/>
    <x v="4"/>
    <n v="653.63"/>
    <x v="478"/>
    <x v="1"/>
    <x v="3"/>
    <x v="715"/>
    <n v="7"/>
    <x v="1"/>
    <x v="2"/>
    <n v="1960.89"/>
  </r>
  <r>
    <x v="716"/>
    <x v="136"/>
    <x v="713"/>
    <x v="3"/>
    <x v="4"/>
    <n v="454.29"/>
    <x v="18"/>
    <x v="2"/>
    <x v="4"/>
    <x v="716"/>
    <n v="4"/>
    <x v="3"/>
    <x v="4"/>
    <n v="1362.87"/>
  </r>
  <r>
    <x v="717"/>
    <x v="504"/>
    <x v="714"/>
    <x v="3"/>
    <x v="4"/>
    <n v="122.11"/>
    <x v="479"/>
    <x v="1"/>
    <x v="3"/>
    <x v="717"/>
    <n v="4"/>
    <x v="3"/>
    <x v="2"/>
    <n v="366.33"/>
  </r>
  <r>
    <x v="718"/>
    <x v="505"/>
    <x v="715"/>
    <x v="5"/>
    <x v="3"/>
    <n v="64.739999999999995"/>
    <x v="480"/>
    <x v="3"/>
    <x v="1"/>
    <x v="718"/>
    <n v="8"/>
    <x v="0"/>
    <x v="4"/>
    <n v="258.95999999999998"/>
  </r>
  <r>
    <x v="719"/>
    <x v="506"/>
    <x v="716"/>
    <x v="5"/>
    <x v="1"/>
    <n v="681.06"/>
    <x v="481"/>
    <x v="0"/>
    <x v="0"/>
    <x v="719"/>
    <n v="3"/>
    <x v="1"/>
    <x v="3"/>
    <n v="1362.12"/>
  </r>
  <r>
    <x v="720"/>
    <x v="507"/>
    <x v="717"/>
    <x v="6"/>
    <x v="0"/>
    <n v="128.94999999999999"/>
    <x v="482"/>
    <x v="4"/>
    <x v="4"/>
    <x v="720"/>
    <n v="10"/>
    <x v="1"/>
    <x v="0"/>
    <n v="644.75"/>
  </r>
  <r>
    <x v="721"/>
    <x v="508"/>
    <x v="718"/>
    <x v="6"/>
    <x v="1"/>
    <n v="118.59"/>
    <x v="483"/>
    <x v="2"/>
    <x v="3"/>
    <x v="721"/>
    <n v="2"/>
    <x v="2"/>
    <x v="2"/>
    <n v="237.18"/>
  </r>
  <r>
    <x v="722"/>
    <x v="64"/>
    <x v="719"/>
    <x v="4"/>
    <x v="2"/>
    <n v="95.1"/>
    <x v="244"/>
    <x v="3"/>
    <x v="4"/>
    <x v="722"/>
    <n v="1"/>
    <x v="3"/>
    <x v="0"/>
    <n v="95.1"/>
  </r>
  <r>
    <x v="723"/>
    <x v="509"/>
    <x v="720"/>
    <x v="6"/>
    <x v="4"/>
    <n v="54.95"/>
    <x v="61"/>
    <x v="4"/>
    <x v="2"/>
    <x v="723"/>
    <n v="8"/>
    <x v="0"/>
    <x v="1"/>
    <n v="164.85"/>
  </r>
  <r>
    <x v="724"/>
    <x v="266"/>
    <x v="721"/>
    <x v="4"/>
    <x v="4"/>
    <n v="136.97"/>
    <x v="257"/>
    <x v="2"/>
    <x v="2"/>
    <x v="724"/>
    <n v="4"/>
    <x v="1"/>
    <x v="1"/>
    <n v="410.91"/>
  </r>
  <r>
    <x v="725"/>
    <x v="255"/>
    <x v="722"/>
    <x v="3"/>
    <x v="1"/>
    <n v="194.85"/>
    <x v="377"/>
    <x v="3"/>
    <x v="2"/>
    <x v="725"/>
    <n v="5"/>
    <x v="2"/>
    <x v="1"/>
    <n v="389.7"/>
  </r>
  <r>
    <x v="726"/>
    <x v="510"/>
    <x v="723"/>
    <x v="5"/>
    <x v="3"/>
    <n v="583.02"/>
    <x v="484"/>
    <x v="1"/>
    <x v="3"/>
    <x v="726"/>
    <n v="4"/>
    <x v="1"/>
    <x v="3"/>
    <n v="2332.08"/>
  </r>
  <r>
    <x v="727"/>
    <x v="470"/>
    <x v="724"/>
    <x v="3"/>
    <x v="0"/>
    <n v="95.75"/>
    <x v="338"/>
    <x v="1"/>
    <x v="0"/>
    <x v="727"/>
    <n v="8"/>
    <x v="0"/>
    <x v="0"/>
    <n v="478.75"/>
  </r>
  <r>
    <x v="728"/>
    <x v="511"/>
    <x v="725"/>
    <x v="6"/>
    <x v="3"/>
    <n v="325.76"/>
    <x v="485"/>
    <x v="3"/>
    <x v="0"/>
    <x v="728"/>
    <n v="8"/>
    <x v="3"/>
    <x v="2"/>
    <n v="1303.04"/>
  </r>
  <r>
    <x v="729"/>
    <x v="102"/>
    <x v="726"/>
    <x v="1"/>
    <x v="3"/>
    <n v="186.41"/>
    <x v="145"/>
    <x v="3"/>
    <x v="4"/>
    <x v="729"/>
    <n v="6"/>
    <x v="0"/>
    <x v="4"/>
    <n v="745.64"/>
  </r>
  <r>
    <x v="730"/>
    <x v="512"/>
    <x v="727"/>
    <x v="1"/>
    <x v="2"/>
    <n v="474.6"/>
    <x v="208"/>
    <x v="0"/>
    <x v="3"/>
    <x v="730"/>
    <n v="4"/>
    <x v="0"/>
    <x v="2"/>
    <n v="474.6"/>
  </r>
  <r>
    <x v="731"/>
    <x v="267"/>
    <x v="728"/>
    <x v="4"/>
    <x v="0"/>
    <n v="584.46"/>
    <x v="486"/>
    <x v="2"/>
    <x v="2"/>
    <x v="731"/>
    <n v="8"/>
    <x v="2"/>
    <x v="2"/>
    <n v="2922.3"/>
  </r>
  <r>
    <x v="732"/>
    <x v="456"/>
    <x v="729"/>
    <x v="5"/>
    <x v="2"/>
    <n v="132.05000000000001"/>
    <x v="466"/>
    <x v="1"/>
    <x v="3"/>
    <x v="732"/>
    <n v="2"/>
    <x v="2"/>
    <x v="4"/>
    <n v="132.05000000000001"/>
  </r>
  <r>
    <x v="733"/>
    <x v="513"/>
    <x v="730"/>
    <x v="2"/>
    <x v="3"/>
    <n v="494.84"/>
    <x v="459"/>
    <x v="4"/>
    <x v="2"/>
    <x v="733"/>
    <n v="8"/>
    <x v="0"/>
    <x v="2"/>
    <n v="1979.36"/>
  </r>
  <r>
    <x v="734"/>
    <x v="514"/>
    <x v="731"/>
    <x v="4"/>
    <x v="3"/>
    <n v="224.61"/>
    <x v="245"/>
    <x v="2"/>
    <x v="2"/>
    <x v="734"/>
    <n v="6"/>
    <x v="3"/>
    <x v="3"/>
    <n v="898.44"/>
  </r>
  <r>
    <x v="735"/>
    <x v="515"/>
    <x v="732"/>
    <x v="0"/>
    <x v="3"/>
    <n v="44.07"/>
    <x v="319"/>
    <x v="0"/>
    <x v="4"/>
    <x v="735"/>
    <n v="6"/>
    <x v="2"/>
    <x v="2"/>
    <n v="176.28"/>
  </r>
  <r>
    <x v="736"/>
    <x v="516"/>
    <x v="733"/>
    <x v="0"/>
    <x v="0"/>
    <n v="418.53"/>
    <x v="386"/>
    <x v="2"/>
    <x v="4"/>
    <x v="736"/>
    <n v="6"/>
    <x v="1"/>
    <x v="4"/>
    <n v="2092.65"/>
  </r>
  <r>
    <x v="737"/>
    <x v="517"/>
    <x v="734"/>
    <x v="1"/>
    <x v="3"/>
    <n v="532.87"/>
    <x v="487"/>
    <x v="4"/>
    <x v="4"/>
    <x v="737"/>
    <n v="9"/>
    <x v="1"/>
    <x v="0"/>
    <n v="2131.48"/>
  </r>
  <r>
    <x v="738"/>
    <x v="518"/>
    <x v="735"/>
    <x v="1"/>
    <x v="1"/>
    <n v="485.37"/>
    <x v="488"/>
    <x v="2"/>
    <x v="0"/>
    <x v="738"/>
    <n v="5"/>
    <x v="0"/>
    <x v="2"/>
    <n v="970.74"/>
  </r>
  <r>
    <x v="739"/>
    <x v="136"/>
    <x v="736"/>
    <x v="1"/>
    <x v="3"/>
    <n v="386.73"/>
    <x v="122"/>
    <x v="4"/>
    <x v="3"/>
    <x v="739"/>
    <n v="4"/>
    <x v="0"/>
    <x v="3"/>
    <n v="1546.92"/>
  </r>
  <r>
    <x v="740"/>
    <x v="351"/>
    <x v="737"/>
    <x v="6"/>
    <x v="1"/>
    <n v="377.47"/>
    <x v="339"/>
    <x v="4"/>
    <x v="4"/>
    <x v="740"/>
    <n v="7"/>
    <x v="2"/>
    <x v="4"/>
    <n v="754.94"/>
  </r>
  <r>
    <x v="741"/>
    <x v="185"/>
    <x v="738"/>
    <x v="0"/>
    <x v="0"/>
    <n v="332.64"/>
    <x v="489"/>
    <x v="3"/>
    <x v="3"/>
    <x v="741"/>
    <n v="10"/>
    <x v="2"/>
    <x v="1"/>
    <n v="1663.2"/>
  </r>
  <r>
    <x v="742"/>
    <x v="519"/>
    <x v="739"/>
    <x v="5"/>
    <x v="4"/>
    <n v="699.93"/>
    <x v="254"/>
    <x v="4"/>
    <x v="2"/>
    <x v="742"/>
    <n v="7"/>
    <x v="0"/>
    <x v="4"/>
    <n v="2099.79"/>
  </r>
  <r>
    <x v="743"/>
    <x v="430"/>
    <x v="740"/>
    <x v="0"/>
    <x v="2"/>
    <n v="576.35"/>
    <x v="38"/>
    <x v="3"/>
    <x v="2"/>
    <x v="743"/>
    <n v="1"/>
    <x v="3"/>
    <x v="0"/>
    <n v="576.35"/>
  </r>
  <r>
    <x v="744"/>
    <x v="520"/>
    <x v="741"/>
    <x v="2"/>
    <x v="1"/>
    <n v="461.37"/>
    <x v="490"/>
    <x v="4"/>
    <x v="3"/>
    <x v="744"/>
    <n v="5"/>
    <x v="0"/>
    <x v="4"/>
    <n v="922.74"/>
  </r>
  <r>
    <x v="745"/>
    <x v="521"/>
    <x v="742"/>
    <x v="4"/>
    <x v="3"/>
    <n v="111.3"/>
    <x v="491"/>
    <x v="0"/>
    <x v="4"/>
    <x v="745"/>
    <n v="7"/>
    <x v="1"/>
    <x v="2"/>
    <n v="445.2"/>
  </r>
  <r>
    <x v="746"/>
    <x v="522"/>
    <x v="743"/>
    <x v="6"/>
    <x v="4"/>
    <n v="661.89"/>
    <x v="492"/>
    <x v="1"/>
    <x v="1"/>
    <x v="746"/>
    <n v="6"/>
    <x v="3"/>
    <x v="1"/>
    <n v="1985.67"/>
  </r>
  <r>
    <x v="747"/>
    <x v="495"/>
    <x v="744"/>
    <x v="2"/>
    <x v="1"/>
    <n v="259.58"/>
    <x v="493"/>
    <x v="0"/>
    <x v="3"/>
    <x v="747"/>
    <n v="7"/>
    <x v="1"/>
    <x v="0"/>
    <n v="519.16"/>
  </r>
  <r>
    <x v="748"/>
    <x v="523"/>
    <x v="745"/>
    <x v="2"/>
    <x v="4"/>
    <n v="70.81"/>
    <x v="379"/>
    <x v="2"/>
    <x v="0"/>
    <x v="748"/>
    <n v="8"/>
    <x v="1"/>
    <x v="1"/>
    <n v="212.43"/>
  </r>
  <r>
    <x v="749"/>
    <x v="524"/>
    <x v="746"/>
    <x v="5"/>
    <x v="2"/>
    <n v="518.39"/>
    <x v="494"/>
    <x v="0"/>
    <x v="4"/>
    <x v="749"/>
    <n v="4"/>
    <x v="1"/>
    <x v="0"/>
    <n v="518.39"/>
  </r>
  <r>
    <x v="750"/>
    <x v="90"/>
    <x v="747"/>
    <x v="2"/>
    <x v="3"/>
    <n v="145.41"/>
    <x v="495"/>
    <x v="2"/>
    <x v="2"/>
    <x v="750"/>
    <n v="7"/>
    <x v="1"/>
    <x v="2"/>
    <n v="581.64"/>
  </r>
  <r>
    <x v="751"/>
    <x v="16"/>
    <x v="748"/>
    <x v="2"/>
    <x v="1"/>
    <n v="599.86"/>
    <x v="496"/>
    <x v="3"/>
    <x v="4"/>
    <x v="751"/>
    <n v="7"/>
    <x v="1"/>
    <x v="3"/>
    <n v="1199.72"/>
  </r>
  <r>
    <x v="752"/>
    <x v="525"/>
    <x v="749"/>
    <x v="1"/>
    <x v="3"/>
    <n v="429.37"/>
    <x v="238"/>
    <x v="2"/>
    <x v="3"/>
    <x v="752"/>
    <n v="8"/>
    <x v="1"/>
    <x v="4"/>
    <n v="1717.48"/>
  </r>
  <r>
    <x v="753"/>
    <x v="526"/>
    <x v="750"/>
    <x v="1"/>
    <x v="1"/>
    <n v="241.49"/>
    <x v="497"/>
    <x v="0"/>
    <x v="2"/>
    <x v="753"/>
    <n v="7"/>
    <x v="1"/>
    <x v="0"/>
    <n v="482.98"/>
  </r>
  <r>
    <x v="754"/>
    <x v="133"/>
    <x v="751"/>
    <x v="4"/>
    <x v="1"/>
    <n v="452.05"/>
    <x v="498"/>
    <x v="2"/>
    <x v="2"/>
    <x v="754"/>
    <n v="3"/>
    <x v="3"/>
    <x v="2"/>
    <n v="904.1"/>
  </r>
  <r>
    <x v="755"/>
    <x v="527"/>
    <x v="752"/>
    <x v="6"/>
    <x v="4"/>
    <n v="336.71"/>
    <x v="499"/>
    <x v="2"/>
    <x v="4"/>
    <x v="755"/>
    <n v="4"/>
    <x v="2"/>
    <x v="2"/>
    <n v="1010.13"/>
  </r>
  <r>
    <x v="756"/>
    <x v="326"/>
    <x v="753"/>
    <x v="1"/>
    <x v="2"/>
    <n v="283.69"/>
    <x v="54"/>
    <x v="3"/>
    <x v="0"/>
    <x v="756"/>
    <n v="6"/>
    <x v="2"/>
    <x v="4"/>
    <n v="283.69"/>
  </r>
  <r>
    <x v="757"/>
    <x v="27"/>
    <x v="754"/>
    <x v="6"/>
    <x v="2"/>
    <n v="157.72"/>
    <x v="171"/>
    <x v="0"/>
    <x v="3"/>
    <x v="757"/>
    <n v="2"/>
    <x v="1"/>
    <x v="4"/>
    <n v="157.72"/>
  </r>
  <r>
    <x v="758"/>
    <x v="465"/>
    <x v="755"/>
    <x v="2"/>
    <x v="4"/>
    <n v="624.84"/>
    <x v="69"/>
    <x v="2"/>
    <x v="1"/>
    <x v="758"/>
    <n v="8"/>
    <x v="3"/>
    <x v="3"/>
    <n v="1874.52"/>
  </r>
  <r>
    <x v="759"/>
    <x v="528"/>
    <x v="756"/>
    <x v="6"/>
    <x v="4"/>
    <n v="308.01"/>
    <x v="500"/>
    <x v="4"/>
    <x v="4"/>
    <x v="759"/>
    <n v="3"/>
    <x v="1"/>
    <x v="3"/>
    <n v="924.03"/>
  </r>
  <r>
    <x v="760"/>
    <x v="403"/>
    <x v="757"/>
    <x v="6"/>
    <x v="2"/>
    <n v="39.56"/>
    <x v="160"/>
    <x v="0"/>
    <x v="1"/>
    <x v="760"/>
    <n v="5"/>
    <x v="2"/>
    <x v="4"/>
    <n v="39.56"/>
  </r>
  <r>
    <x v="761"/>
    <x v="454"/>
    <x v="758"/>
    <x v="6"/>
    <x v="3"/>
    <n v="37.76"/>
    <x v="501"/>
    <x v="0"/>
    <x v="3"/>
    <x v="761"/>
    <n v="7"/>
    <x v="2"/>
    <x v="4"/>
    <n v="151.04"/>
  </r>
  <r>
    <x v="762"/>
    <x v="529"/>
    <x v="759"/>
    <x v="1"/>
    <x v="4"/>
    <n v="76.959999999999994"/>
    <x v="84"/>
    <x v="4"/>
    <x v="2"/>
    <x v="762"/>
    <n v="8"/>
    <x v="1"/>
    <x v="2"/>
    <n v="230.88"/>
  </r>
  <r>
    <x v="763"/>
    <x v="388"/>
    <x v="760"/>
    <x v="5"/>
    <x v="2"/>
    <n v="569.96"/>
    <x v="91"/>
    <x v="1"/>
    <x v="3"/>
    <x v="763"/>
    <n v="4"/>
    <x v="1"/>
    <x v="2"/>
    <n v="569.96"/>
  </r>
  <r>
    <x v="764"/>
    <x v="416"/>
    <x v="761"/>
    <x v="5"/>
    <x v="0"/>
    <n v="627.42999999999995"/>
    <x v="155"/>
    <x v="2"/>
    <x v="1"/>
    <x v="764"/>
    <n v="10"/>
    <x v="1"/>
    <x v="2"/>
    <n v="3137.15"/>
  </r>
  <r>
    <x v="765"/>
    <x v="426"/>
    <x v="762"/>
    <x v="5"/>
    <x v="1"/>
    <n v="534.91"/>
    <x v="478"/>
    <x v="0"/>
    <x v="2"/>
    <x v="765"/>
    <n v="5"/>
    <x v="0"/>
    <x v="4"/>
    <n v="1069.82"/>
  </r>
  <r>
    <x v="766"/>
    <x v="55"/>
    <x v="763"/>
    <x v="4"/>
    <x v="1"/>
    <n v="278.88"/>
    <x v="294"/>
    <x v="0"/>
    <x v="4"/>
    <x v="766"/>
    <n v="3"/>
    <x v="1"/>
    <x v="1"/>
    <n v="557.76"/>
  </r>
  <r>
    <x v="767"/>
    <x v="479"/>
    <x v="764"/>
    <x v="2"/>
    <x v="1"/>
    <n v="323.22000000000003"/>
    <x v="502"/>
    <x v="2"/>
    <x v="3"/>
    <x v="767"/>
    <n v="7"/>
    <x v="2"/>
    <x v="0"/>
    <n v="646.44000000000005"/>
  </r>
  <r>
    <x v="768"/>
    <x v="355"/>
    <x v="765"/>
    <x v="2"/>
    <x v="0"/>
    <n v="653.46"/>
    <x v="503"/>
    <x v="4"/>
    <x v="1"/>
    <x v="768"/>
    <n v="9"/>
    <x v="3"/>
    <x v="2"/>
    <n v="3267.3"/>
  </r>
  <r>
    <x v="769"/>
    <x v="117"/>
    <x v="766"/>
    <x v="4"/>
    <x v="3"/>
    <n v="678.55"/>
    <x v="28"/>
    <x v="4"/>
    <x v="3"/>
    <x v="769"/>
    <n v="5"/>
    <x v="2"/>
    <x v="2"/>
    <n v="2714.2"/>
  </r>
  <r>
    <x v="770"/>
    <x v="530"/>
    <x v="767"/>
    <x v="6"/>
    <x v="2"/>
    <n v="314.38"/>
    <x v="347"/>
    <x v="1"/>
    <x v="2"/>
    <x v="770"/>
    <n v="6"/>
    <x v="2"/>
    <x v="4"/>
    <n v="314.38"/>
  </r>
  <r>
    <x v="771"/>
    <x v="520"/>
    <x v="768"/>
    <x v="1"/>
    <x v="4"/>
    <n v="692.44"/>
    <x v="314"/>
    <x v="0"/>
    <x v="1"/>
    <x v="771"/>
    <n v="8"/>
    <x v="1"/>
    <x v="4"/>
    <n v="2077.3200000000002"/>
  </r>
  <r>
    <x v="772"/>
    <x v="118"/>
    <x v="769"/>
    <x v="0"/>
    <x v="2"/>
    <n v="604.87"/>
    <x v="504"/>
    <x v="1"/>
    <x v="3"/>
    <x v="772"/>
    <n v="4"/>
    <x v="2"/>
    <x v="0"/>
    <n v="604.87"/>
  </r>
  <r>
    <x v="773"/>
    <x v="164"/>
    <x v="770"/>
    <x v="1"/>
    <x v="1"/>
    <n v="512.33000000000004"/>
    <x v="505"/>
    <x v="4"/>
    <x v="1"/>
    <x v="773"/>
    <n v="7"/>
    <x v="2"/>
    <x v="3"/>
    <n v="1024.6600000000001"/>
  </r>
  <r>
    <x v="774"/>
    <x v="198"/>
    <x v="771"/>
    <x v="3"/>
    <x v="4"/>
    <n v="20.54"/>
    <x v="506"/>
    <x v="2"/>
    <x v="1"/>
    <x v="774"/>
    <n v="3"/>
    <x v="1"/>
    <x v="0"/>
    <n v="61.62"/>
  </r>
  <r>
    <x v="775"/>
    <x v="190"/>
    <x v="772"/>
    <x v="1"/>
    <x v="1"/>
    <n v="625.22"/>
    <x v="21"/>
    <x v="1"/>
    <x v="1"/>
    <x v="775"/>
    <n v="5"/>
    <x v="2"/>
    <x v="4"/>
    <n v="1250.44"/>
  </r>
  <r>
    <x v="776"/>
    <x v="531"/>
    <x v="773"/>
    <x v="2"/>
    <x v="2"/>
    <n v="21.19"/>
    <x v="507"/>
    <x v="4"/>
    <x v="2"/>
    <x v="776"/>
    <n v="5"/>
    <x v="3"/>
    <x v="4"/>
    <n v="21.19"/>
  </r>
  <r>
    <x v="777"/>
    <x v="438"/>
    <x v="774"/>
    <x v="3"/>
    <x v="0"/>
    <n v="64.489999999999995"/>
    <x v="22"/>
    <x v="1"/>
    <x v="1"/>
    <x v="777"/>
    <n v="7"/>
    <x v="2"/>
    <x v="3"/>
    <n v="322.45"/>
  </r>
  <r>
    <x v="778"/>
    <x v="200"/>
    <x v="775"/>
    <x v="5"/>
    <x v="3"/>
    <n v="246.85"/>
    <x v="508"/>
    <x v="2"/>
    <x v="0"/>
    <x v="778"/>
    <n v="8"/>
    <x v="3"/>
    <x v="4"/>
    <n v="987.4"/>
  </r>
  <r>
    <x v="779"/>
    <x v="142"/>
    <x v="776"/>
    <x v="1"/>
    <x v="4"/>
    <n v="588.74"/>
    <x v="509"/>
    <x v="0"/>
    <x v="4"/>
    <x v="779"/>
    <n v="8"/>
    <x v="1"/>
    <x v="2"/>
    <n v="1766.22"/>
  </r>
  <r>
    <x v="780"/>
    <x v="74"/>
    <x v="777"/>
    <x v="5"/>
    <x v="3"/>
    <n v="184.48"/>
    <x v="345"/>
    <x v="1"/>
    <x v="1"/>
    <x v="780"/>
    <n v="4"/>
    <x v="3"/>
    <x v="4"/>
    <n v="737.92"/>
  </r>
  <r>
    <x v="781"/>
    <x v="532"/>
    <x v="778"/>
    <x v="1"/>
    <x v="0"/>
    <n v="524.26"/>
    <x v="5"/>
    <x v="3"/>
    <x v="3"/>
    <x v="781"/>
    <n v="5"/>
    <x v="1"/>
    <x v="1"/>
    <n v="2621.3000000000002"/>
  </r>
  <r>
    <x v="782"/>
    <x v="533"/>
    <x v="779"/>
    <x v="0"/>
    <x v="1"/>
    <n v="493.63"/>
    <x v="414"/>
    <x v="1"/>
    <x v="2"/>
    <x v="782"/>
    <n v="6"/>
    <x v="0"/>
    <x v="1"/>
    <n v="987.26"/>
  </r>
  <r>
    <x v="783"/>
    <x v="534"/>
    <x v="780"/>
    <x v="4"/>
    <x v="2"/>
    <n v="438.34"/>
    <x v="478"/>
    <x v="3"/>
    <x v="2"/>
    <x v="783"/>
    <n v="5"/>
    <x v="1"/>
    <x v="3"/>
    <n v="438.34"/>
  </r>
  <r>
    <x v="784"/>
    <x v="535"/>
    <x v="781"/>
    <x v="5"/>
    <x v="2"/>
    <n v="325.81"/>
    <x v="49"/>
    <x v="2"/>
    <x v="4"/>
    <x v="784"/>
    <n v="1"/>
    <x v="3"/>
    <x v="1"/>
    <n v="325.81"/>
  </r>
  <r>
    <x v="785"/>
    <x v="536"/>
    <x v="782"/>
    <x v="3"/>
    <x v="2"/>
    <n v="176.1"/>
    <x v="510"/>
    <x v="2"/>
    <x v="4"/>
    <x v="785"/>
    <n v="1"/>
    <x v="0"/>
    <x v="0"/>
    <n v="176.1"/>
  </r>
  <r>
    <x v="786"/>
    <x v="421"/>
    <x v="783"/>
    <x v="3"/>
    <x v="0"/>
    <n v="45.31"/>
    <x v="511"/>
    <x v="1"/>
    <x v="1"/>
    <x v="786"/>
    <n v="8"/>
    <x v="2"/>
    <x v="1"/>
    <n v="226.55"/>
  </r>
  <r>
    <x v="787"/>
    <x v="537"/>
    <x v="784"/>
    <x v="6"/>
    <x v="3"/>
    <n v="221.96"/>
    <x v="512"/>
    <x v="4"/>
    <x v="3"/>
    <x v="787"/>
    <n v="7"/>
    <x v="2"/>
    <x v="4"/>
    <n v="887.84"/>
  </r>
  <r>
    <x v="788"/>
    <x v="208"/>
    <x v="785"/>
    <x v="3"/>
    <x v="1"/>
    <n v="601.42999999999995"/>
    <x v="513"/>
    <x v="1"/>
    <x v="4"/>
    <x v="788"/>
    <n v="5"/>
    <x v="1"/>
    <x v="0"/>
    <n v="1202.8599999999999"/>
  </r>
  <r>
    <x v="789"/>
    <x v="538"/>
    <x v="786"/>
    <x v="2"/>
    <x v="0"/>
    <n v="691.28"/>
    <x v="514"/>
    <x v="1"/>
    <x v="3"/>
    <x v="789"/>
    <n v="10"/>
    <x v="0"/>
    <x v="2"/>
    <n v="3456.4"/>
  </r>
  <r>
    <x v="790"/>
    <x v="154"/>
    <x v="787"/>
    <x v="5"/>
    <x v="3"/>
    <n v="417.89"/>
    <x v="515"/>
    <x v="3"/>
    <x v="4"/>
    <x v="790"/>
    <n v="4"/>
    <x v="2"/>
    <x v="4"/>
    <n v="1671.56"/>
  </r>
  <r>
    <x v="791"/>
    <x v="539"/>
    <x v="788"/>
    <x v="3"/>
    <x v="3"/>
    <n v="409.28"/>
    <x v="24"/>
    <x v="4"/>
    <x v="4"/>
    <x v="791"/>
    <n v="8"/>
    <x v="2"/>
    <x v="2"/>
    <n v="1637.12"/>
  </r>
  <r>
    <x v="792"/>
    <x v="379"/>
    <x v="789"/>
    <x v="6"/>
    <x v="1"/>
    <n v="356.35"/>
    <x v="516"/>
    <x v="0"/>
    <x v="2"/>
    <x v="792"/>
    <n v="6"/>
    <x v="3"/>
    <x v="3"/>
    <n v="712.7"/>
  </r>
  <r>
    <x v="793"/>
    <x v="116"/>
    <x v="790"/>
    <x v="3"/>
    <x v="0"/>
    <n v="170.22"/>
    <x v="335"/>
    <x v="0"/>
    <x v="3"/>
    <x v="793"/>
    <n v="8"/>
    <x v="2"/>
    <x v="1"/>
    <n v="851.1"/>
  </r>
  <r>
    <x v="794"/>
    <x v="338"/>
    <x v="791"/>
    <x v="4"/>
    <x v="3"/>
    <n v="384.85"/>
    <x v="517"/>
    <x v="1"/>
    <x v="3"/>
    <x v="794"/>
    <n v="9"/>
    <x v="1"/>
    <x v="0"/>
    <n v="1539.4"/>
  </r>
  <r>
    <x v="795"/>
    <x v="540"/>
    <x v="792"/>
    <x v="5"/>
    <x v="3"/>
    <n v="115.77"/>
    <x v="518"/>
    <x v="1"/>
    <x v="4"/>
    <x v="795"/>
    <n v="7"/>
    <x v="0"/>
    <x v="0"/>
    <n v="463.08"/>
  </r>
  <r>
    <x v="796"/>
    <x v="541"/>
    <x v="793"/>
    <x v="1"/>
    <x v="4"/>
    <n v="579.54999999999995"/>
    <x v="189"/>
    <x v="3"/>
    <x v="2"/>
    <x v="796"/>
    <n v="8"/>
    <x v="3"/>
    <x v="3"/>
    <n v="1738.65"/>
  </r>
  <r>
    <x v="797"/>
    <x v="146"/>
    <x v="794"/>
    <x v="5"/>
    <x v="1"/>
    <n v="438.76"/>
    <x v="519"/>
    <x v="0"/>
    <x v="2"/>
    <x v="797"/>
    <n v="2"/>
    <x v="2"/>
    <x v="3"/>
    <n v="877.52"/>
  </r>
  <r>
    <x v="798"/>
    <x v="542"/>
    <x v="795"/>
    <x v="1"/>
    <x v="0"/>
    <n v="488.35"/>
    <x v="262"/>
    <x v="0"/>
    <x v="2"/>
    <x v="798"/>
    <n v="9"/>
    <x v="1"/>
    <x v="2"/>
    <n v="2441.75"/>
  </r>
  <r>
    <x v="799"/>
    <x v="397"/>
    <x v="796"/>
    <x v="5"/>
    <x v="3"/>
    <n v="328.56"/>
    <x v="228"/>
    <x v="0"/>
    <x v="2"/>
    <x v="799"/>
    <n v="4"/>
    <x v="1"/>
    <x v="2"/>
    <n v="1314.24"/>
  </r>
  <r>
    <x v="800"/>
    <x v="210"/>
    <x v="797"/>
    <x v="2"/>
    <x v="2"/>
    <n v="68.39"/>
    <x v="520"/>
    <x v="1"/>
    <x v="2"/>
    <x v="800"/>
    <n v="3"/>
    <x v="3"/>
    <x v="3"/>
    <n v="68.39"/>
  </r>
  <r>
    <x v="801"/>
    <x v="71"/>
    <x v="27"/>
    <x v="4"/>
    <x v="3"/>
    <n v="595.62"/>
    <x v="521"/>
    <x v="0"/>
    <x v="4"/>
    <x v="801"/>
    <n v="8"/>
    <x v="1"/>
    <x v="3"/>
    <n v="2382.48"/>
  </r>
  <r>
    <x v="802"/>
    <x v="11"/>
    <x v="798"/>
    <x v="3"/>
    <x v="0"/>
    <n v="644.64"/>
    <x v="522"/>
    <x v="3"/>
    <x v="1"/>
    <x v="802"/>
    <n v="6"/>
    <x v="1"/>
    <x v="2"/>
    <n v="3223.2"/>
  </r>
  <r>
    <x v="803"/>
    <x v="38"/>
    <x v="799"/>
    <x v="0"/>
    <x v="0"/>
    <n v="397.81"/>
    <x v="44"/>
    <x v="0"/>
    <x v="2"/>
    <x v="803"/>
    <n v="5"/>
    <x v="0"/>
    <x v="1"/>
    <n v="1989.05"/>
  </r>
  <r>
    <x v="804"/>
    <x v="543"/>
    <x v="800"/>
    <x v="3"/>
    <x v="4"/>
    <n v="236.5"/>
    <x v="523"/>
    <x v="1"/>
    <x v="3"/>
    <x v="804"/>
    <n v="8"/>
    <x v="1"/>
    <x v="2"/>
    <n v="709.5"/>
  </r>
  <r>
    <x v="805"/>
    <x v="12"/>
    <x v="801"/>
    <x v="5"/>
    <x v="0"/>
    <n v="472.01"/>
    <x v="524"/>
    <x v="3"/>
    <x v="1"/>
    <x v="805"/>
    <n v="10"/>
    <x v="0"/>
    <x v="2"/>
    <n v="2360.0500000000002"/>
  </r>
  <r>
    <x v="806"/>
    <x v="544"/>
    <x v="802"/>
    <x v="3"/>
    <x v="0"/>
    <n v="253.75"/>
    <x v="240"/>
    <x v="1"/>
    <x v="4"/>
    <x v="806"/>
    <n v="9"/>
    <x v="3"/>
    <x v="0"/>
    <n v="1268.75"/>
  </r>
  <r>
    <x v="807"/>
    <x v="337"/>
    <x v="803"/>
    <x v="0"/>
    <x v="4"/>
    <n v="676.21"/>
    <x v="525"/>
    <x v="1"/>
    <x v="3"/>
    <x v="807"/>
    <n v="5"/>
    <x v="0"/>
    <x v="4"/>
    <n v="2028.63"/>
  </r>
  <r>
    <x v="808"/>
    <x v="545"/>
    <x v="804"/>
    <x v="6"/>
    <x v="4"/>
    <n v="134.05000000000001"/>
    <x v="526"/>
    <x v="2"/>
    <x v="0"/>
    <x v="808"/>
    <n v="3"/>
    <x v="2"/>
    <x v="4"/>
    <n v="402.15"/>
  </r>
  <r>
    <x v="809"/>
    <x v="398"/>
    <x v="805"/>
    <x v="6"/>
    <x v="0"/>
    <n v="217.43"/>
    <x v="60"/>
    <x v="0"/>
    <x v="0"/>
    <x v="809"/>
    <n v="10"/>
    <x v="0"/>
    <x v="0"/>
    <n v="1087.1500000000001"/>
  </r>
  <r>
    <x v="810"/>
    <x v="546"/>
    <x v="806"/>
    <x v="2"/>
    <x v="2"/>
    <n v="553.55999999999995"/>
    <x v="527"/>
    <x v="2"/>
    <x v="1"/>
    <x v="810"/>
    <n v="5"/>
    <x v="2"/>
    <x v="1"/>
    <n v="553.55999999999995"/>
  </r>
  <r>
    <x v="811"/>
    <x v="212"/>
    <x v="807"/>
    <x v="5"/>
    <x v="1"/>
    <n v="28.55"/>
    <x v="497"/>
    <x v="3"/>
    <x v="0"/>
    <x v="811"/>
    <n v="7"/>
    <x v="0"/>
    <x v="2"/>
    <n v="57.1"/>
  </r>
  <r>
    <x v="812"/>
    <x v="547"/>
    <x v="808"/>
    <x v="1"/>
    <x v="1"/>
    <n v="255.26"/>
    <x v="228"/>
    <x v="2"/>
    <x v="1"/>
    <x v="812"/>
    <n v="6"/>
    <x v="1"/>
    <x v="4"/>
    <n v="510.52"/>
  </r>
  <r>
    <x v="813"/>
    <x v="175"/>
    <x v="809"/>
    <x v="5"/>
    <x v="0"/>
    <n v="292.54000000000002"/>
    <x v="239"/>
    <x v="0"/>
    <x v="1"/>
    <x v="813"/>
    <n v="8"/>
    <x v="1"/>
    <x v="2"/>
    <n v="1462.7"/>
  </r>
  <r>
    <x v="814"/>
    <x v="218"/>
    <x v="810"/>
    <x v="3"/>
    <x v="3"/>
    <n v="147.51"/>
    <x v="528"/>
    <x v="0"/>
    <x v="4"/>
    <x v="814"/>
    <n v="4"/>
    <x v="3"/>
    <x v="0"/>
    <n v="590.04"/>
  </r>
  <r>
    <x v="815"/>
    <x v="548"/>
    <x v="811"/>
    <x v="4"/>
    <x v="4"/>
    <n v="569.84"/>
    <x v="529"/>
    <x v="3"/>
    <x v="1"/>
    <x v="815"/>
    <n v="8"/>
    <x v="3"/>
    <x v="0"/>
    <n v="1709.52"/>
  </r>
  <r>
    <x v="816"/>
    <x v="444"/>
    <x v="812"/>
    <x v="2"/>
    <x v="0"/>
    <n v="574.79"/>
    <x v="191"/>
    <x v="2"/>
    <x v="4"/>
    <x v="816"/>
    <n v="8"/>
    <x v="3"/>
    <x v="1"/>
    <n v="2873.95"/>
  </r>
  <r>
    <x v="817"/>
    <x v="469"/>
    <x v="813"/>
    <x v="3"/>
    <x v="3"/>
    <n v="598.19000000000005"/>
    <x v="530"/>
    <x v="2"/>
    <x v="3"/>
    <x v="817"/>
    <n v="7"/>
    <x v="3"/>
    <x v="2"/>
    <n v="2392.7600000000002"/>
  </r>
  <r>
    <x v="818"/>
    <x v="521"/>
    <x v="814"/>
    <x v="1"/>
    <x v="3"/>
    <n v="390.84"/>
    <x v="458"/>
    <x v="2"/>
    <x v="1"/>
    <x v="818"/>
    <n v="9"/>
    <x v="3"/>
    <x v="1"/>
    <n v="1563.36"/>
  </r>
  <r>
    <x v="819"/>
    <x v="335"/>
    <x v="815"/>
    <x v="1"/>
    <x v="1"/>
    <n v="398.45"/>
    <x v="531"/>
    <x v="0"/>
    <x v="1"/>
    <x v="819"/>
    <n v="7"/>
    <x v="0"/>
    <x v="4"/>
    <n v="796.9"/>
  </r>
  <r>
    <x v="820"/>
    <x v="156"/>
    <x v="816"/>
    <x v="1"/>
    <x v="0"/>
    <n v="623.80999999999995"/>
    <x v="296"/>
    <x v="4"/>
    <x v="2"/>
    <x v="820"/>
    <n v="6"/>
    <x v="1"/>
    <x v="2"/>
    <n v="3119.05"/>
  </r>
  <r>
    <x v="821"/>
    <x v="549"/>
    <x v="817"/>
    <x v="5"/>
    <x v="3"/>
    <n v="174.49"/>
    <x v="288"/>
    <x v="2"/>
    <x v="3"/>
    <x v="821"/>
    <n v="5"/>
    <x v="0"/>
    <x v="3"/>
    <n v="697.96"/>
  </r>
  <r>
    <x v="822"/>
    <x v="175"/>
    <x v="818"/>
    <x v="1"/>
    <x v="2"/>
    <n v="479.56"/>
    <x v="66"/>
    <x v="3"/>
    <x v="2"/>
    <x v="822"/>
    <n v="1"/>
    <x v="0"/>
    <x v="4"/>
    <n v="479.56"/>
  </r>
  <r>
    <x v="823"/>
    <x v="550"/>
    <x v="819"/>
    <x v="5"/>
    <x v="3"/>
    <n v="653.13"/>
    <x v="532"/>
    <x v="2"/>
    <x v="0"/>
    <x v="823"/>
    <n v="8"/>
    <x v="3"/>
    <x v="0"/>
    <n v="2612.52"/>
  </r>
  <r>
    <x v="824"/>
    <x v="193"/>
    <x v="820"/>
    <x v="0"/>
    <x v="4"/>
    <n v="481.1"/>
    <x v="533"/>
    <x v="2"/>
    <x v="2"/>
    <x v="824"/>
    <n v="3"/>
    <x v="1"/>
    <x v="3"/>
    <n v="1443.3"/>
  </r>
  <r>
    <x v="825"/>
    <x v="18"/>
    <x v="821"/>
    <x v="6"/>
    <x v="0"/>
    <n v="271.69"/>
    <x v="534"/>
    <x v="1"/>
    <x v="2"/>
    <x v="825"/>
    <n v="7"/>
    <x v="1"/>
    <x v="0"/>
    <n v="1358.45"/>
  </r>
  <r>
    <x v="826"/>
    <x v="177"/>
    <x v="822"/>
    <x v="4"/>
    <x v="4"/>
    <n v="463.81"/>
    <x v="160"/>
    <x v="1"/>
    <x v="2"/>
    <x v="826"/>
    <n v="8"/>
    <x v="3"/>
    <x v="2"/>
    <n v="1391.43"/>
  </r>
  <r>
    <x v="827"/>
    <x v="551"/>
    <x v="823"/>
    <x v="2"/>
    <x v="1"/>
    <n v="639.88"/>
    <x v="187"/>
    <x v="4"/>
    <x v="3"/>
    <x v="827"/>
    <n v="5"/>
    <x v="3"/>
    <x v="0"/>
    <n v="1279.76"/>
  </r>
  <r>
    <x v="828"/>
    <x v="25"/>
    <x v="824"/>
    <x v="3"/>
    <x v="3"/>
    <n v="404.58"/>
    <x v="535"/>
    <x v="4"/>
    <x v="0"/>
    <x v="828"/>
    <n v="5"/>
    <x v="1"/>
    <x v="0"/>
    <n v="1618.32"/>
  </r>
  <r>
    <x v="829"/>
    <x v="483"/>
    <x v="825"/>
    <x v="0"/>
    <x v="2"/>
    <n v="76.930000000000007"/>
    <x v="536"/>
    <x v="0"/>
    <x v="3"/>
    <x v="829"/>
    <n v="6"/>
    <x v="3"/>
    <x v="0"/>
    <n v="76.930000000000007"/>
  </r>
  <r>
    <x v="830"/>
    <x v="218"/>
    <x v="826"/>
    <x v="2"/>
    <x v="3"/>
    <n v="190.64"/>
    <x v="537"/>
    <x v="4"/>
    <x v="3"/>
    <x v="830"/>
    <n v="5"/>
    <x v="0"/>
    <x v="2"/>
    <n v="762.56"/>
  </r>
  <r>
    <x v="831"/>
    <x v="552"/>
    <x v="827"/>
    <x v="4"/>
    <x v="1"/>
    <n v="88.73"/>
    <x v="441"/>
    <x v="1"/>
    <x v="4"/>
    <x v="831"/>
    <n v="5"/>
    <x v="2"/>
    <x v="4"/>
    <n v="177.46"/>
  </r>
  <r>
    <x v="832"/>
    <x v="553"/>
    <x v="828"/>
    <x v="3"/>
    <x v="0"/>
    <n v="485.71"/>
    <x v="13"/>
    <x v="1"/>
    <x v="4"/>
    <x v="832"/>
    <n v="10"/>
    <x v="0"/>
    <x v="1"/>
    <n v="2428.5500000000002"/>
  </r>
  <r>
    <x v="833"/>
    <x v="387"/>
    <x v="829"/>
    <x v="1"/>
    <x v="0"/>
    <n v="78.290000000000006"/>
    <x v="538"/>
    <x v="2"/>
    <x v="0"/>
    <x v="833"/>
    <n v="5"/>
    <x v="3"/>
    <x v="1"/>
    <n v="391.45"/>
  </r>
  <r>
    <x v="834"/>
    <x v="166"/>
    <x v="830"/>
    <x v="4"/>
    <x v="0"/>
    <n v="22.14"/>
    <x v="206"/>
    <x v="4"/>
    <x v="2"/>
    <x v="834"/>
    <n v="10"/>
    <x v="2"/>
    <x v="0"/>
    <n v="110.7"/>
  </r>
  <r>
    <x v="835"/>
    <x v="290"/>
    <x v="831"/>
    <x v="6"/>
    <x v="2"/>
    <n v="679.65"/>
    <x v="539"/>
    <x v="0"/>
    <x v="0"/>
    <x v="835"/>
    <n v="6"/>
    <x v="1"/>
    <x v="4"/>
    <n v="679.65"/>
  </r>
  <r>
    <x v="836"/>
    <x v="488"/>
    <x v="832"/>
    <x v="1"/>
    <x v="2"/>
    <n v="178.44"/>
    <x v="450"/>
    <x v="2"/>
    <x v="1"/>
    <x v="836"/>
    <n v="2"/>
    <x v="1"/>
    <x v="4"/>
    <n v="178.44"/>
  </r>
  <r>
    <x v="837"/>
    <x v="554"/>
    <x v="833"/>
    <x v="3"/>
    <x v="0"/>
    <n v="655.55"/>
    <x v="429"/>
    <x v="1"/>
    <x v="3"/>
    <x v="837"/>
    <n v="5"/>
    <x v="2"/>
    <x v="2"/>
    <n v="3277.75"/>
  </r>
  <r>
    <x v="838"/>
    <x v="166"/>
    <x v="834"/>
    <x v="6"/>
    <x v="3"/>
    <n v="577.08000000000004"/>
    <x v="65"/>
    <x v="1"/>
    <x v="4"/>
    <x v="838"/>
    <n v="8"/>
    <x v="2"/>
    <x v="3"/>
    <n v="2308.3200000000002"/>
  </r>
  <r>
    <x v="839"/>
    <x v="318"/>
    <x v="835"/>
    <x v="3"/>
    <x v="4"/>
    <n v="197.97"/>
    <x v="492"/>
    <x v="1"/>
    <x v="1"/>
    <x v="839"/>
    <n v="5"/>
    <x v="2"/>
    <x v="4"/>
    <n v="593.91"/>
  </r>
  <r>
    <x v="840"/>
    <x v="555"/>
    <x v="836"/>
    <x v="3"/>
    <x v="4"/>
    <n v="411.95"/>
    <x v="364"/>
    <x v="2"/>
    <x v="3"/>
    <x v="840"/>
    <n v="7"/>
    <x v="1"/>
    <x v="1"/>
    <n v="1235.8499999999999"/>
  </r>
  <r>
    <x v="841"/>
    <x v="556"/>
    <x v="837"/>
    <x v="4"/>
    <x v="1"/>
    <n v="443.22"/>
    <x v="540"/>
    <x v="2"/>
    <x v="3"/>
    <x v="841"/>
    <n v="5"/>
    <x v="2"/>
    <x v="3"/>
    <n v="886.44"/>
  </r>
  <r>
    <x v="842"/>
    <x v="106"/>
    <x v="838"/>
    <x v="5"/>
    <x v="4"/>
    <n v="364.14"/>
    <x v="467"/>
    <x v="1"/>
    <x v="4"/>
    <x v="842"/>
    <n v="7"/>
    <x v="3"/>
    <x v="1"/>
    <n v="1092.42"/>
  </r>
  <r>
    <x v="843"/>
    <x v="557"/>
    <x v="839"/>
    <x v="6"/>
    <x v="4"/>
    <n v="430.06"/>
    <x v="541"/>
    <x v="3"/>
    <x v="1"/>
    <x v="843"/>
    <n v="8"/>
    <x v="1"/>
    <x v="0"/>
    <n v="1290.18"/>
  </r>
  <r>
    <x v="844"/>
    <x v="558"/>
    <x v="840"/>
    <x v="3"/>
    <x v="2"/>
    <n v="320.92"/>
    <x v="542"/>
    <x v="1"/>
    <x v="2"/>
    <x v="844"/>
    <n v="5"/>
    <x v="1"/>
    <x v="3"/>
    <n v="320.92"/>
  </r>
  <r>
    <x v="845"/>
    <x v="345"/>
    <x v="841"/>
    <x v="1"/>
    <x v="4"/>
    <n v="107.36"/>
    <x v="543"/>
    <x v="3"/>
    <x v="3"/>
    <x v="845"/>
    <n v="5"/>
    <x v="1"/>
    <x v="4"/>
    <n v="322.08"/>
  </r>
  <r>
    <x v="846"/>
    <x v="502"/>
    <x v="842"/>
    <x v="6"/>
    <x v="1"/>
    <n v="359.86"/>
    <x v="544"/>
    <x v="0"/>
    <x v="1"/>
    <x v="846"/>
    <n v="4"/>
    <x v="2"/>
    <x v="1"/>
    <n v="719.72"/>
  </r>
  <r>
    <x v="847"/>
    <x v="249"/>
    <x v="843"/>
    <x v="4"/>
    <x v="3"/>
    <n v="434.23"/>
    <x v="247"/>
    <x v="1"/>
    <x v="0"/>
    <x v="847"/>
    <n v="8"/>
    <x v="1"/>
    <x v="2"/>
    <n v="1736.92"/>
  </r>
  <r>
    <x v="848"/>
    <x v="107"/>
    <x v="844"/>
    <x v="3"/>
    <x v="1"/>
    <n v="645.85"/>
    <x v="56"/>
    <x v="1"/>
    <x v="0"/>
    <x v="848"/>
    <n v="5"/>
    <x v="2"/>
    <x v="1"/>
    <n v="1291.7"/>
  </r>
  <r>
    <x v="849"/>
    <x v="559"/>
    <x v="845"/>
    <x v="4"/>
    <x v="3"/>
    <n v="214.35"/>
    <x v="533"/>
    <x v="0"/>
    <x v="1"/>
    <x v="849"/>
    <n v="7"/>
    <x v="3"/>
    <x v="1"/>
    <n v="857.4"/>
  </r>
  <r>
    <x v="850"/>
    <x v="560"/>
    <x v="846"/>
    <x v="0"/>
    <x v="4"/>
    <n v="638.5"/>
    <x v="483"/>
    <x v="0"/>
    <x v="1"/>
    <x v="850"/>
    <n v="4"/>
    <x v="1"/>
    <x v="0"/>
    <n v="1915.5"/>
  </r>
  <r>
    <x v="851"/>
    <x v="427"/>
    <x v="847"/>
    <x v="5"/>
    <x v="2"/>
    <n v="365.57"/>
    <x v="72"/>
    <x v="1"/>
    <x v="1"/>
    <x v="851"/>
    <n v="5"/>
    <x v="0"/>
    <x v="2"/>
    <n v="365.57"/>
  </r>
  <r>
    <x v="852"/>
    <x v="101"/>
    <x v="848"/>
    <x v="6"/>
    <x v="4"/>
    <n v="568.04999999999995"/>
    <x v="545"/>
    <x v="3"/>
    <x v="4"/>
    <x v="852"/>
    <n v="6"/>
    <x v="0"/>
    <x v="4"/>
    <n v="1704.15"/>
  </r>
  <r>
    <x v="853"/>
    <x v="504"/>
    <x v="849"/>
    <x v="4"/>
    <x v="4"/>
    <n v="490.01"/>
    <x v="253"/>
    <x v="4"/>
    <x v="2"/>
    <x v="853"/>
    <n v="4"/>
    <x v="0"/>
    <x v="3"/>
    <n v="1470.03"/>
  </r>
  <r>
    <x v="854"/>
    <x v="399"/>
    <x v="850"/>
    <x v="5"/>
    <x v="4"/>
    <n v="372.6"/>
    <x v="349"/>
    <x v="2"/>
    <x v="3"/>
    <x v="854"/>
    <n v="7"/>
    <x v="3"/>
    <x v="1"/>
    <n v="1117.8"/>
  </r>
  <r>
    <x v="855"/>
    <x v="551"/>
    <x v="851"/>
    <x v="0"/>
    <x v="0"/>
    <n v="240.61"/>
    <x v="214"/>
    <x v="2"/>
    <x v="0"/>
    <x v="855"/>
    <n v="10"/>
    <x v="1"/>
    <x v="2"/>
    <n v="1203.05"/>
  </r>
  <r>
    <x v="856"/>
    <x v="561"/>
    <x v="852"/>
    <x v="1"/>
    <x v="2"/>
    <n v="586.62"/>
    <x v="42"/>
    <x v="0"/>
    <x v="0"/>
    <x v="856"/>
    <n v="5"/>
    <x v="2"/>
    <x v="3"/>
    <n v="586.62"/>
  </r>
  <r>
    <x v="857"/>
    <x v="416"/>
    <x v="853"/>
    <x v="1"/>
    <x v="4"/>
    <n v="257.83999999999997"/>
    <x v="184"/>
    <x v="1"/>
    <x v="3"/>
    <x v="857"/>
    <n v="4"/>
    <x v="2"/>
    <x v="0"/>
    <n v="773.52"/>
  </r>
  <r>
    <x v="858"/>
    <x v="38"/>
    <x v="854"/>
    <x v="2"/>
    <x v="0"/>
    <n v="435.66"/>
    <x v="18"/>
    <x v="1"/>
    <x v="4"/>
    <x v="858"/>
    <n v="9"/>
    <x v="2"/>
    <x v="3"/>
    <n v="2178.3000000000002"/>
  </r>
  <r>
    <x v="859"/>
    <x v="562"/>
    <x v="855"/>
    <x v="3"/>
    <x v="0"/>
    <n v="261.33"/>
    <x v="432"/>
    <x v="2"/>
    <x v="2"/>
    <x v="859"/>
    <n v="5"/>
    <x v="0"/>
    <x v="1"/>
    <n v="1306.6500000000001"/>
  </r>
  <r>
    <x v="860"/>
    <x v="514"/>
    <x v="856"/>
    <x v="4"/>
    <x v="2"/>
    <n v="422.54"/>
    <x v="289"/>
    <x v="4"/>
    <x v="3"/>
    <x v="860"/>
    <n v="1"/>
    <x v="0"/>
    <x v="4"/>
    <n v="422.54"/>
  </r>
  <r>
    <x v="861"/>
    <x v="111"/>
    <x v="857"/>
    <x v="6"/>
    <x v="0"/>
    <n v="330.45"/>
    <x v="546"/>
    <x v="3"/>
    <x v="0"/>
    <x v="861"/>
    <n v="10"/>
    <x v="1"/>
    <x v="4"/>
    <n v="1652.25"/>
  </r>
  <r>
    <x v="862"/>
    <x v="278"/>
    <x v="858"/>
    <x v="6"/>
    <x v="4"/>
    <n v="120.82"/>
    <x v="472"/>
    <x v="2"/>
    <x v="0"/>
    <x v="862"/>
    <n v="5"/>
    <x v="0"/>
    <x v="1"/>
    <n v="362.46"/>
  </r>
  <r>
    <x v="863"/>
    <x v="199"/>
    <x v="859"/>
    <x v="1"/>
    <x v="2"/>
    <n v="14.06"/>
    <x v="215"/>
    <x v="2"/>
    <x v="4"/>
    <x v="863"/>
    <n v="5"/>
    <x v="0"/>
    <x v="1"/>
    <n v="14.06"/>
  </r>
  <r>
    <x v="864"/>
    <x v="71"/>
    <x v="860"/>
    <x v="6"/>
    <x v="2"/>
    <n v="491.11"/>
    <x v="547"/>
    <x v="2"/>
    <x v="3"/>
    <x v="864"/>
    <n v="4"/>
    <x v="0"/>
    <x v="3"/>
    <n v="491.11"/>
  </r>
  <r>
    <x v="865"/>
    <x v="563"/>
    <x v="861"/>
    <x v="0"/>
    <x v="3"/>
    <n v="677.37"/>
    <x v="548"/>
    <x v="4"/>
    <x v="4"/>
    <x v="865"/>
    <n v="8"/>
    <x v="0"/>
    <x v="4"/>
    <n v="2709.48"/>
  </r>
  <r>
    <x v="866"/>
    <x v="503"/>
    <x v="862"/>
    <x v="6"/>
    <x v="0"/>
    <n v="189.25"/>
    <x v="549"/>
    <x v="0"/>
    <x v="1"/>
    <x v="866"/>
    <n v="10"/>
    <x v="3"/>
    <x v="2"/>
    <n v="946.25"/>
  </r>
  <r>
    <x v="867"/>
    <x v="564"/>
    <x v="863"/>
    <x v="4"/>
    <x v="3"/>
    <n v="142.58000000000001"/>
    <x v="550"/>
    <x v="4"/>
    <x v="3"/>
    <x v="867"/>
    <n v="4"/>
    <x v="1"/>
    <x v="3"/>
    <n v="570.32000000000005"/>
  </r>
  <r>
    <x v="868"/>
    <x v="310"/>
    <x v="864"/>
    <x v="0"/>
    <x v="3"/>
    <n v="316.32"/>
    <x v="551"/>
    <x v="0"/>
    <x v="3"/>
    <x v="868"/>
    <n v="7"/>
    <x v="2"/>
    <x v="3"/>
    <n v="1265.28"/>
  </r>
  <r>
    <x v="869"/>
    <x v="537"/>
    <x v="865"/>
    <x v="6"/>
    <x v="1"/>
    <n v="533.95000000000005"/>
    <x v="156"/>
    <x v="1"/>
    <x v="3"/>
    <x v="869"/>
    <n v="5"/>
    <x v="3"/>
    <x v="4"/>
    <n v="1067.9000000000001"/>
  </r>
  <r>
    <x v="870"/>
    <x v="565"/>
    <x v="866"/>
    <x v="1"/>
    <x v="3"/>
    <n v="470.09"/>
    <x v="552"/>
    <x v="0"/>
    <x v="3"/>
    <x v="870"/>
    <n v="4"/>
    <x v="1"/>
    <x v="4"/>
    <n v="1880.36"/>
  </r>
  <r>
    <x v="871"/>
    <x v="149"/>
    <x v="867"/>
    <x v="2"/>
    <x v="4"/>
    <n v="324.3"/>
    <x v="553"/>
    <x v="0"/>
    <x v="4"/>
    <x v="871"/>
    <n v="8"/>
    <x v="1"/>
    <x v="2"/>
    <n v="972.90000000000009"/>
  </r>
  <r>
    <x v="872"/>
    <x v="566"/>
    <x v="868"/>
    <x v="3"/>
    <x v="3"/>
    <n v="629.34"/>
    <x v="180"/>
    <x v="4"/>
    <x v="0"/>
    <x v="872"/>
    <n v="7"/>
    <x v="2"/>
    <x v="2"/>
    <n v="2517.36"/>
  </r>
  <r>
    <x v="873"/>
    <x v="258"/>
    <x v="869"/>
    <x v="6"/>
    <x v="4"/>
    <n v="136.84"/>
    <x v="554"/>
    <x v="4"/>
    <x v="3"/>
    <x v="873"/>
    <n v="3"/>
    <x v="0"/>
    <x v="3"/>
    <n v="410.52"/>
  </r>
  <r>
    <x v="874"/>
    <x v="150"/>
    <x v="870"/>
    <x v="3"/>
    <x v="1"/>
    <n v="488.9"/>
    <x v="476"/>
    <x v="4"/>
    <x v="3"/>
    <x v="874"/>
    <n v="7"/>
    <x v="1"/>
    <x v="3"/>
    <n v="977.8"/>
  </r>
  <r>
    <x v="875"/>
    <x v="567"/>
    <x v="871"/>
    <x v="5"/>
    <x v="0"/>
    <n v="133.38999999999999"/>
    <x v="86"/>
    <x v="2"/>
    <x v="3"/>
    <x v="875"/>
    <n v="6"/>
    <x v="1"/>
    <x v="1"/>
    <n v="666.94999999999993"/>
  </r>
  <r>
    <x v="876"/>
    <x v="410"/>
    <x v="872"/>
    <x v="3"/>
    <x v="0"/>
    <n v="608.91"/>
    <x v="490"/>
    <x v="3"/>
    <x v="4"/>
    <x v="876"/>
    <n v="6"/>
    <x v="0"/>
    <x v="4"/>
    <n v="3044.55"/>
  </r>
  <r>
    <x v="877"/>
    <x v="568"/>
    <x v="873"/>
    <x v="2"/>
    <x v="2"/>
    <n v="524.05999999999995"/>
    <x v="437"/>
    <x v="0"/>
    <x v="4"/>
    <x v="877"/>
    <n v="3"/>
    <x v="1"/>
    <x v="2"/>
    <n v="524.05999999999995"/>
  </r>
  <r>
    <x v="878"/>
    <x v="569"/>
    <x v="874"/>
    <x v="6"/>
    <x v="1"/>
    <n v="330.69"/>
    <x v="555"/>
    <x v="1"/>
    <x v="1"/>
    <x v="878"/>
    <n v="5"/>
    <x v="0"/>
    <x v="4"/>
    <n v="661.38"/>
  </r>
  <r>
    <x v="879"/>
    <x v="428"/>
    <x v="875"/>
    <x v="1"/>
    <x v="1"/>
    <n v="547.66999999999996"/>
    <x v="407"/>
    <x v="3"/>
    <x v="0"/>
    <x v="879"/>
    <n v="3"/>
    <x v="2"/>
    <x v="0"/>
    <n v="1095.3399999999999"/>
  </r>
  <r>
    <x v="880"/>
    <x v="495"/>
    <x v="876"/>
    <x v="5"/>
    <x v="3"/>
    <n v="233.7"/>
    <x v="210"/>
    <x v="1"/>
    <x v="0"/>
    <x v="880"/>
    <n v="8"/>
    <x v="0"/>
    <x v="3"/>
    <n v="934.8"/>
  </r>
  <r>
    <x v="881"/>
    <x v="570"/>
    <x v="877"/>
    <x v="2"/>
    <x v="1"/>
    <n v="448.85"/>
    <x v="556"/>
    <x v="2"/>
    <x v="4"/>
    <x v="881"/>
    <n v="6"/>
    <x v="2"/>
    <x v="0"/>
    <n v="897.7"/>
  </r>
  <r>
    <x v="882"/>
    <x v="164"/>
    <x v="878"/>
    <x v="1"/>
    <x v="1"/>
    <n v="274.12"/>
    <x v="91"/>
    <x v="4"/>
    <x v="3"/>
    <x v="882"/>
    <n v="6"/>
    <x v="1"/>
    <x v="1"/>
    <n v="548.24"/>
  </r>
  <r>
    <x v="883"/>
    <x v="557"/>
    <x v="879"/>
    <x v="4"/>
    <x v="0"/>
    <n v="561.48"/>
    <x v="557"/>
    <x v="1"/>
    <x v="3"/>
    <x v="883"/>
    <n v="9"/>
    <x v="1"/>
    <x v="3"/>
    <n v="2807.4"/>
  </r>
  <r>
    <x v="884"/>
    <x v="571"/>
    <x v="880"/>
    <x v="3"/>
    <x v="2"/>
    <n v="595.54"/>
    <x v="558"/>
    <x v="3"/>
    <x v="0"/>
    <x v="884"/>
    <n v="4"/>
    <x v="2"/>
    <x v="0"/>
    <n v="595.54"/>
  </r>
  <r>
    <x v="885"/>
    <x v="158"/>
    <x v="881"/>
    <x v="5"/>
    <x v="3"/>
    <n v="515.59"/>
    <x v="559"/>
    <x v="2"/>
    <x v="0"/>
    <x v="885"/>
    <n v="7"/>
    <x v="1"/>
    <x v="4"/>
    <n v="2062.36"/>
  </r>
  <r>
    <x v="886"/>
    <x v="385"/>
    <x v="882"/>
    <x v="1"/>
    <x v="2"/>
    <n v="460.13"/>
    <x v="560"/>
    <x v="2"/>
    <x v="2"/>
    <x v="886"/>
    <n v="1"/>
    <x v="2"/>
    <x v="4"/>
    <n v="460.13"/>
  </r>
  <r>
    <x v="887"/>
    <x v="36"/>
    <x v="883"/>
    <x v="3"/>
    <x v="4"/>
    <n v="171.66"/>
    <x v="561"/>
    <x v="0"/>
    <x v="3"/>
    <x v="887"/>
    <n v="7"/>
    <x v="2"/>
    <x v="4"/>
    <n v="514.98"/>
  </r>
  <r>
    <x v="888"/>
    <x v="572"/>
    <x v="884"/>
    <x v="5"/>
    <x v="1"/>
    <n v="266.95"/>
    <x v="562"/>
    <x v="2"/>
    <x v="4"/>
    <x v="888"/>
    <n v="3"/>
    <x v="2"/>
    <x v="0"/>
    <n v="533.9"/>
  </r>
  <r>
    <x v="889"/>
    <x v="245"/>
    <x v="885"/>
    <x v="0"/>
    <x v="0"/>
    <n v="650.72"/>
    <x v="563"/>
    <x v="2"/>
    <x v="1"/>
    <x v="889"/>
    <n v="8"/>
    <x v="3"/>
    <x v="2"/>
    <n v="3253.6"/>
  </r>
  <r>
    <x v="890"/>
    <x v="178"/>
    <x v="886"/>
    <x v="5"/>
    <x v="4"/>
    <n v="439.53"/>
    <x v="371"/>
    <x v="0"/>
    <x v="4"/>
    <x v="890"/>
    <n v="5"/>
    <x v="2"/>
    <x v="4"/>
    <n v="1318.59"/>
  </r>
  <r>
    <x v="891"/>
    <x v="433"/>
    <x v="887"/>
    <x v="0"/>
    <x v="4"/>
    <n v="654.54"/>
    <x v="564"/>
    <x v="4"/>
    <x v="2"/>
    <x v="891"/>
    <n v="7"/>
    <x v="0"/>
    <x v="1"/>
    <n v="1963.62"/>
  </r>
  <r>
    <x v="892"/>
    <x v="573"/>
    <x v="888"/>
    <x v="6"/>
    <x v="2"/>
    <n v="394.53"/>
    <x v="565"/>
    <x v="4"/>
    <x v="0"/>
    <x v="892"/>
    <n v="2"/>
    <x v="1"/>
    <x v="1"/>
    <n v="394.53"/>
  </r>
  <r>
    <x v="893"/>
    <x v="574"/>
    <x v="889"/>
    <x v="0"/>
    <x v="2"/>
    <n v="678.01"/>
    <x v="386"/>
    <x v="4"/>
    <x v="4"/>
    <x v="893"/>
    <n v="4"/>
    <x v="1"/>
    <x v="1"/>
    <n v="678.01"/>
  </r>
  <r>
    <x v="894"/>
    <x v="575"/>
    <x v="890"/>
    <x v="2"/>
    <x v="4"/>
    <n v="575.01"/>
    <x v="401"/>
    <x v="1"/>
    <x v="1"/>
    <x v="894"/>
    <n v="8"/>
    <x v="3"/>
    <x v="0"/>
    <n v="1725.03"/>
  </r>
  <r>
    <x v="895"/>
    <x v="576"/>
    <x v="891"/>
    <x v="3"/>
    <x v="4"/>
    <n v="154.63999999999999"/>
    <x v="566"/>
    <x v="0"/>
    <x v="4"/>
    <x v="895"/>
    <n v="6"/>
    <x v="3"/>
    <x v="3"/>
    <n v="463.92"/>
  </r>
  <r>
    <x v="896"/>
    <x v="266"/>
    <x v="892"/>
    <x v="6"/>
    <x v="4"/>
    <n v="147.29"/>
    <x v="9"/>
    <x v="3"/>
    <x v="0"/>
    <x v="896"/>
    <n v="3"/>
    <x v="1"/>
    <x v="4"/>
    <n v="441.87"/>
  </r>
  <r>
    <x v="897"/>
    <x v="459"/>
    <x v="893"/>
    <x v="5"/>
    <x v="3"/>
    <n v="481.48"/>
    <x v="179"/>
    <x v="3"/>
    <x v="3"/>
    <x v="897"/>
    <n v="5"/>
    <x v="0"/>
    <x v="0"/>
    <n v="1925.92"/>
  </r>
  <r>
    <x v="898"/>
    <x v="376"/>
    <x v="894"/>
    <x v="0"/>
    <x v="4"/>
    <n v="158.37"/>
    <x v="540"/>
    <x v="4"/>
    <x v="0"/>
    <x v="898"/>
    <n v="6"/>
    <x v="2"/>
    <x v="1"/>
    <n v="475.11"/>
  </r>
  <r>
    <x v="899"/>
    <x v="577"/>
    <x v="895"/>
    <x v="4"/>
    <x v="1"/>
    <n v="323.37"/>
    <x v="64"/>
    <x v="1"/>
    <x v="4"/>
    <x v="899"/>
    <n v="3"/>
    <x v="0"/>
    <x v="0"/>
    <n v="646.74"/>
  </r>
  <r>
    <x v="900"/>
    <x v="492"/>
    <x v="896"/>
    <x v="5"/>
    <x v="0"/>
    <n v="73.83"/>
    <x v="392"/>
    <x v="0"/>
    <x v="4"/>
    <x v="900"/>
    <n v="9"/>
    <x v="2"/>
    <x v="0"/>
    <n v="369.15"/>
  </r>
  <r>
    <x v="901"/>
    <x v="578"/>
    <x v="897"/>
    <x v="2"/>
    <x v="2"/>
    <n v="458.63"/>
    <x v="89"/>
    <x v="0"/>
    <x v="2"/>
    <x v="901"/>
    <n v="4"/>
    <x v="3"/>
    <x v="1"/>
    <n v="458.63"/>
  </r>
  <r>
    <x v="902"/>
    <x v="579"/>
    <x v="898"/>
    <x v="0"/>
    <x v="3"/>
    <n v="180.25"/>
    <x v="59"/>
    <x v="0"/>
    <x v="1"/>
    <x v="902"/>
    <n v="7"/>
    <x v="2"/>
    <x v="3"/>
    <n v="721"/>
  </r>
  <r>
    <x v="903"/>
    <x v="209"/>
    <x v="899"/>
    <x v="0"/>
    <x v="4"/>
    <n v="473.49"/>
    <x v="522"/>
    <x v="2"/>
    <x v="4"/>
    <x v="903"/>
    <n v="7"/>
    <x v="2"/>
    <x v="2"/>
    <n v="1420.47"/>
  </r>
  <r>
    <x v="904"/>
    <x v="580"/>
    <x v="900"/>
    <x v="0"/>
    <x v="3"/>
    <n v="237.43"/>
    <x v="348"/>
    <x v="4"/>
    <x v="1"/>
    <x v="904"/>
    <n v="8"/>
    <x v="3"/>
    <x v="1"/>
    <n v="949.72"/>
  </r>
  <r>
    <x v="905"/>
    <x v="581"/>
    <x v="901"/>
    <x v="5"/>
    <x v="2"/>
    <n v="442.39"/>
    <x v="267"/>
    <x v="3"/>
    <x v="4"/>
    <x v="905"/>
    <n v="6"/>
    <x v="1"/>
    <x v="3"/>
    <n v="442.39"/>
  </r>
  <r>
    <x v="906"/>
    <x v="459"/>
    <x v="902"/>
    <x v="0"/>
    <x v="2"/>
    <n v="62.12"/>
    <x v="567"/>
    <x v="4"/>
    <x v="2"/>
    <x v="906"/>
    <n v="2"/>
    <x v="2"/>
    <x v="2"/>
    <n v="62.12"/>
  </r>
  <r>
    <x v="907"/>
    <x v="548"/>
    <x v="903"/>
    <x v="6"/>
    <x v="0"/>
    <n v="298.39"/>
    <x v="124"/>
    <x v="3"/>
    <x v="1"/>
    <x v="907"/>
    <n v="7"/>
    <x v="3"/>
    <x v="1"/>
    <n v="1491.95"/>
  </r>
  <r>
    <x v="908"/>
    <x v="138"/>
    <x v="904"/>
    <x v="6"/>
    <x v="1"/>
    <n v="697.93"/>
    <x v="157"/>
    <x v="2"/>
    <x v="1"/>
    <x v="908"/>
    <n v="2"/>
    <x v="0"/>
    <x v="4"/>
    <n v="1395.86"/>
  </r>
  <r>
    <x v="909"/>
    <x v="582"/>
    <x v="905"/>
    <x v="2"/>
    <x v="1"/>
    <n v="291.85000000000002"/>
    <x v="21"/>
    <x v="4"/>
    <x v="0"/>
    <x v="909"/>
    <n v="5"/>
    <x v="1"/>
    <x v="0"/>
    <n v="583.70000000000005"/>
  </r>
  <r>
    <x v="910"/>
    <x v="583"/>
    <x v="906"/>
    <x v="4"/>
    <x v="4"/>
    <n v="308.98"/>
    <x v="71"/>
    <x v="4"/>
    <x v="3"/>
    <x v="910"/>
    <n v="3"/>
    <x v="0"/>
    <x v="0"/>
    <n v="926.94"/>
  </r>
  <r>
    <x v="911"/>
    <x v="584"/>
    <x v="907"/>
    <x v="6"/>
    <x v="0"/>
    <n v="396.86"/>
    <x v="110"/>
    <x v="4"/>
    <x v="1"/>
    <x v="911"/>
    <n v="9"/>
    <x v="0"/>
    <x v="0"/>
    <n v="1984.3"/>
  </r>
  <r>
    <x v="912"/>
    <x v="585"/>
    <x v="908"/>
    <x v="6"/>
    <x v="1"/>
    <n v="139.69"/>
    <x v="82"/>
    <x v="1"/>
    <x v="2"/>
    <x v="912"/>
    <n v="7"/>
    <x v="1"/>
    <x v="2"/>
    <n v="279.38"/>
  </r>
  <r>
    <x v="913"/>
    <x v="223"/>
    <x v="909"/>
    <x v="4"/>
    <x v="0"/>
    <n v="475.95"/>
    <x v="173"/>
    <x v="2"/>
    <x v="2"/>
    <x v="913"/>
    <n v="8"/>
    <x v="3"/>
    <x v="3"/>
    <n v="2379.75"/>
  </r>
  <r>
    <x v="914"/>
    <x v="441"/>
    <x v="910"/>
    <x v="6"/>
    <x v="2"/>
    <n v="626.6"/>
    <x v="341"/>
    <x v="3"/>
    <x v="2"/>
    <x v="914"/>
    <n v="4"/>
    <x v="3"/>
    <x v="3"/>
    <n v="626.6"/>
  </r>
  <r>
    <x v="915"/>
    <x v="586"/>
    <x v="911"/>
    <x v="5"/>
    <x v="3"/>
    <n v="502.99"/>
    <x v="568"/>
    <x v="0"/>
    <x v="0"/>
    <x v="915"/>
    <n v="4"/>
    <x v="3"/>
    <x v="1"/>
    <n v="2011.96"/>
  </r>
  <r>
    <x v="916"/>
    <x v="587"/>
    <x v="912"/>
    <x v="4"/>
    <x v="0"/>
    <n v="578.83000000000004"/>
    <x v="503"/>
    <x v="4"/>
    <x v="2"/>
    <x v="916"/>
    <n v="6"/>
    <x v="2"/>
    <x v="1"/>
    <n v="2894.15"/>
  </r>
  <r>
    <x v="917"/>
    <x v="588"/>
    <x v="913"/>
    <x v="5"/>
    <x v="0"/>
    <n v="383.82"/>
    <x v="569"/>
    <x v="2"/>
    <x v="2"/>
    <x v="917"/>
    <n v="7"/>
    <x v="1"/>
    <x v="4"/>
    <n v="1919.1"/>
  </r>
  <r>
    <x v="918"/>
    <x v="53"/>
    <x v="914"/>
    <x v="5"/>
    <x v="0"/>
    <n v="368.25"/>
    <x v="7"/>
    <x v="1"/>
    <x v="3"/>
    <x v="918"/>
    <n v="5"/>
    <x v="2"/>
    <x v="0"/>
    <n v="1841.25"/>
  </r>
  <r>
    <x v="919"/>
    <x v="492"/>
    <x v="915"/>
    <x v="4"/>
    <x v="1"/>
    <n v="374.6"/>
    <x v="112"/>
    <x v="1"/>
    <x v="0"/>
    <x v="919"/>
    <n v="3"/>
    <x v="1"/>
    <x v="1"/>
    <n v="749.2"/>
  </r>
  <r>
    <x v="920"/>
    <x v="495"/>
    <x v="916"/>
    <x v="2"/>
    <x v="1"/>
    <n v="428.09"/>
    <x v="264"/>
    <x v="2"/>
    <x v="2"/>
    <x v="920"/>
    <n v="6"/>
    <x v="2"/>
    <x v="0"/>
    <n v="856.18"/>
  </r>
  <r>
    <x v="921"/>
    <x v="528"/>
    <x v="917"/>
    <x v="2"/>
    <x v="2"/>
    <n v="438.93"/>
    <x v="570"/>
    <x v="3"/>
    <x v="1"/>
    <x v="921"/>
    <n v="3"/>
    <x v="0"/>
    <x v="1"/>
    <n v="438.93"/>
  </r>
  <r>
    <x v="922"/>
    <x v="589"/>
    <x v="918"/>
    <x v="6"/>
    <x v="1"/>
    <n v="563.82000000000005"/>
    <x v="571"/>
    <x v="2"/>
    <x v="4"/>
    <x v="922"/>
    <n v="3"/>
    <x v="2"/>
    <x v="0"/>
    <n v="1127.6400000000001"/>
  </r>
  <r>
    <x v="923"/>
    <x v="91"/>
    <x v="919"/>
    <x v="4"/>
    <x v="4"/>
    <n v="649.92999999999995"/>
    <x v="569"/>
    <x v="2"/>
    <x v="4"/>
    <x v="923"/>
    <n v="7"/>
    <x v="3"/>
    <x v="3"/>
    <n v="1949.79"/>
  </r>
  <r>
    <x v="924"/>
    <x v="29"/>
    <x v="920"/>
    <x v="4"/>
    <x v="0"/>
    <n v="268.43"/>
    <x v="392"/>
    <x v="4"/>
    <x v="2"/>
    <x v="924"/>
    <n v="5"/>
    <x v="0"/>
    <x v="2"/>
    <n v="1342.15"/>
  </r>
  <r>
    <x v="925"/>
    <x v="590"/>
    <x v="921"/>
    <x v="0"/>
    <x v="0"/>
    <n v="502.47"/>
    <x v="323"/>
    <x v="1"/>
    <x v="0"/>
    <x v="925"/>
    <n v="10"/>
    <x v="3"/>
    <x v="2"/>
    <n v="2512.35"/>
  </r>
  <r>
    <x v="926"/>
    <x v="591"/>
    <x v="922"/>
    <x v="6"/>
    <x v="2"/>
    <n v="26.95"/>
    <x v="364"/>
    <x v="4"/>
    <x v="3"/>
    <x v="926"/>
    <n v="1"/>
    <x v="3"/>
    <x v="2"/>
    <n v="26.95"/>
  </r>
  <r>
    <x v="927"/>
    <x v="592"/>
    <x v="923"/>
    <x v="5"/>
    <x v="3"/>
    <n v="64.69"/>
    <x v="463"/>
    <x v="0"/>
    <x v="0"/>
    <x v="927"/>
    <n v="7"/>
    <x v="3"/>
    <x v="4"/>
    <n v="258.76"/>
  </r>
  <r>
    <x v="928"/>
    <x v="593"/>
    <x v="924"/>
    <x v="5"/>
    <x v="4"/>
    <n v="247.11"/>
    <x v="218"/>
    <x v="0"/>
    <x v="2"/>
    <x v="928"/>
    <n v="3"/>
    <x v="3"/>
    <x v="1"/>
    <n v="741.33"/>
  </r>
  <r>
    <x v="929"/>
    <x v="594"/>
    <x v="925"/>
    <x v="2"/>
    <x v="1"/>
    <n v="536.25"/>
    <x v="158"/>
    <x v="0"/>
    <x v="4"/>
    <x v="929"/>
    <n v="3"/>
    <x v="2"/>
    <x v="2"/>
    <n v="1072.5"/>
  </r>
  <r>
    <x v="930"/>
    <x v="393"/>
    <x v="926"/>
    <x v="1"/>
    <x v="1"/>
    <n v="456.04"/>
    <x v="17"/>
    <x v="0"/>
    <x v="2"/>
    <x v="930"/>
    <n v="4"/>
    <x v="1"/>
    <x v="2"/>
    <n v="912.08"/>
  </r>
  <r>
    <x v="931"/>
    <x v="543"/>
    <x v="927"/>
    <x v="4"/>
    <x v="1"/>
    <n v="40.229999999999997"/>
    <x v="50"/>
    <x v="2"/>
    <x v="1"/>
    <x v="931"/>
    <n v="4"/>
    <x v="0"/>
    <x v="4"/>
    <n v="80.459999999999994"/>
  </r>
  <r>
    <x v="932"/>
    <x v="465"/>
    <x v="928"/>
    <x v="5"/>
    <x v="1"/>
    <n v="72.39"/>
    <x v="572"/>
    <x v="1"/>
    <x v="3"/>
    <x v="932"/>
    <n v="7"/>
    <x v="3"/>
    <x v="0"/>
    <n v="144.78"/>
  </r>
  <r>
    <x v="933"/>
    <x v="595"/>
    <x v="929"/>
    <x v="0"/>
    <x v="1"/>
    <n v="394.16"/>
    <x v="207"/>
    <x v="1"/>
    <x v="0"/>
    <x v="933"/>
    <n v="2"/>
    <x v="2"/>
    <x v="1"/>
    <n v="788.32"/>
  </r>
  <r>
    <x v="934"/>
    <x v="565"/>
    <x v="930"/>
    <x v="5"/>
    <x v="3"/>
    <n v="119.84"/>
    <x v="194"/>
    <x v="3"/>
    <x v="0"/>
    <x v="934"/>
    <n v="8"/>
    <x v="1"/>
    <x v="1"/>
    <n v="479.36"/>
  </r>
  <r>
    <x v="935"/>
    <x v="254"/>
    <x v="931"/>
    <x v="1"/>
    <x v="4"/>
    <n v="692.71"/>
    <x v="282"/>
    <x v="2"/>
    <x v="3"/>
    <x v="935"/>
    <n v="3"/>
    <x v="1"/>
    <x v="0"/>
    <n v="2078.13"/>
  </r>
  <r>
    <x v="936"/>
    <x v="596"/>
    <x v="932"/>
    <x v="3"/>
    <x v="3"/>
    <n v="56.66"/>
    <x v="144"/>
    <x v="1"/>
    <x v="3"/>
    <x v="936"/>
    <n v="4"/>
    <x v="0"/>
    <x v="0"/>
    <n v="226.64"/>
  </r>
  <r>
    <x v="937"/>
    <x v="462"/>
    <x v="933"/>
    <x v="3"/>
    <x v="1"/>
    <n v="298.52999999999997"/>
    <x v="325"/>
    <x v="0"/>
    <x v="1"/>
    <x v="937"/>
    <n v="5"/>
    <x v="3"/>
    <x v="2"/>
    <n v="597.05999999999995"/>
  </r>
  <r>
    <x v="938"/>
    <x v="219"/>
    <x v="934"/>
    <x v="3"/>
    <x v="4"/>
    <n v="331.46"/>
    <x v="386"/>
    <x v="2"/>
    <x v="1"/>
    <x v="938"/>
    <n v="6"/>
    <x v="3"/>
    <x v="1"/>
    <n v="994.37999999999988"/>
  </r>
  <r>
    <x v="939"/>
    <x v="597"/>
    <x v="935"/>
    <x v="5"/>
    <x v="1"/>
    <n v="521.4"/>
    <x v="573"/>
    <x v="4"/>
    <x v="3"/>
    <x v="939"/>
    <n v="7"/>
    <x v="0"/>
    <x v="0"/>
    <n v="1042.8"/>
  </r>
  <r>
    <x v="940"/>
    <x v="14"/>
    <x v="936"/>
    <x v="4"/>
    <x v="3"/>
    <n v="305.32"/>
    <x v="574"/>
    <x v="1"/>
    <x v="1"/>
    <x v="940"/>
    <n v="4"/>
    <x v="0"/>
    <x v="4"/>
    <n v="1221.28"/>
  </r>
  <r>
    <x v="941"/>
    <x v="15"/>
    <x v="439"/>
    <x v="4"/>
    <x v="0"/>
    <n v="111.7"/>
    <x v="280"/>
    <x v="2"/>
    <x v="1"/>
    <x v="941"/>
    <n v="9"/>
    <x v="1"/>
    <x v="2"/>
    <n v="558.5"/>
  </r>
  <r>
    <x v="942"/>
    <x v="372"/>
    <x v="937"/>
    <x v="2"/>
    <x v="2"/>
    <n v="479.76"/>
    <x v="189"/>
    <x v="2"/>
    <x v="4"/>
    <x v="942"/>
    <n v="1"/>
    <x v="2"/>
    <x v="2"/>
    <n v="479.76"/>
  </r>
  <r>
    <x v="943"/>
    <x v="140"/>
    <x v="938"/>
    <x v="0"/>
    <x v="4"/>
    <n v="193.49"/>
    <x v="575"/>
    <x v="3"/>
    <x v="2"/>
    <x v="943"/>
    <n v="6"/>
    <x v="1"/>
    <x v="3"/>
    <n v="580.47"/>
  </r>
  <r>
    <x v="944"/>
    <x v="393"/>
    <x v="939"/>
    <x v="5"/>
    <x v="1"/>
    <n v="426.22"/>
    <x v="554"/>
    <x v="1"/>
    <x v="3"/>
    <x v="944"/>
    <n v="7"/>
    <x v="3"/>
    <x v="4"/>
    <n v="852.44"/>
  </r>
  <r>
    <x v="945"/>
    <x v="38"/>
    <x v="940"/>
    <x v="2"/>
    <x v="0"/>
    <n v="276.44"/>
    <x v="285"/>
    <x v="3"/>
    <x v="0"/>
    <x v="945"/>
    <n v="10"/>
    <x v="1"/>
    <x v="1"/>
    <n v="1382.2"/>
  </r>
  <r>
    <x v="946"/>
    <x v="598"/>
    <x v="941"/>
    <x v="1"/>
    <x v="1"/>
    <n v="404.96"/>
    <x v="274"/>
    <x v="4"/>
    <x v="0"/>
    <x v="946"/>
    <n v="4"/>
    <x v="0"/>
    <x v="2"/>
    <n v="809.92"/>
  </r>
  <r>
    <x v="947"/>
    <x v="599"/>
    <x v="942"/>
    <x v="1"/>
    <x v="3"/>
    <n v="465.66"/>
    <x v="232"/>
    <x v="1"/>
    <x v="2"/>
    <x v="947"/>
    <n v="9"/>
    <x v="1"/>
    <x v="2"/>
    <n v="1862.64"/>
  </r>
  <r>
    <x v="948"/>
    <x v="587"/>
    <x v="445"/>
    <x v="1"/>
    <x v="1"/>
    <n v="594.07000000000005"/>
    <x v="361"/>
    <x v="3"/>
    <x v="1"/>
    <x v="948"/>
    <n v="2"/>
    <x v="2"/>
    <x v="4"/>
    <n v="1188.1400000000001"/>
  </r>
  <r>
    <x v="949"/>
    <x v="576"/>
    <x v="943"/>
    <x v="6"/>
    <x v="0"/>
    <n v="110.38"/>
    <x v="322"/>
    <x v="4"/>
    <x v="4"/>
    <x v="949"/>
    <n v="10"/>
    <x v="2"/>
    <x v="1"/>
    <n v="551.9"/>
  </r>
  <r>
    <x v="950"/>
    <x v="583"/>
    <x v="944"/>
    <x v="5"/>
    <x v="2"/>
    <n v="596.24"/>
    <x v="18"/>
    <x v="2"/>
    <x v="2"/>
    <x v="950"/>
    <n v="4"/>
    <x v="1"/>
    <x v="0"/>
    <n v="596.24"/>
  </r>
  <r>
    <x v="951"/>
    <x v="319"/>
    <x v="945"/>
    <x v="4"/>
    <x v="1"/>
    <n v="306.24"/>
    <x v="227"/>
    <x v="1"/>
    <x v="2"/>
    <x v="951"/>
    <n v="4"/>
    <x v="1"/>
    <x v="2"/>
    <n v="612.48"/>
  </r>
  <r>
    <x v="952"/>
    <x v="37"/>
    <x v="946"/>
    <x v="0"/>
    <x v="4"/>
    <n v="503.39"/>
    <x v="576"/>
    <x v="1"/>
    <x v="4"/>
    <x v="952"/>
    <n v="5"/>
    <x v="2"/>
    <x v="3"/>
    <n v="1510.17"/>
  </r>
  <r>
    <x v="953"/>
    <x v="600"/>
    <x v="947"/>
    <x v="1"/>
    <x v="2"/>
    <n v="131.61000000000001"/>
    <x v="76"/>
    <x v="4"/>
    <x v="0"/>
    <x v="953"/>
    <n v="2"/>
    <x v="1"/>
    <x v="3"/>
    <n v="131.61000000000001"/>
  </r>
  <r>
    <x v="954"/>
    <x v="601"/>
    <x v="948"/>
    <x v="3"/>
    <x v="4"/>
    <n v="443.44"/>
    <x v="146"/>
    <x v="3"/>
    <x v="0"/>
    <x v="954"/>
    <n v="3"/>
    <x v="1"/>
    <x v="4"/>
    <n v="1330.32"/>
  </r>
  <r>
    <x v="955"/>
    <x v="19"/>
    <x v="949"/>
    <x v="3"/>
    <x v="2"/>
    <n v="408.13"/>
    <x v="213"/>
    <x v="3"/>
    <x v="0"/>
    <x v="955"/>
    <n v="3"/>
    <x v="3"/>
    <x v="0"/>
    <n v="408.13"/>
  </r>
  <r>
    <x v="956"/>
    <x v="166"/>
    <x v="781"/>
    <x v="1"/>
    <x v="1"/>
    <n v="160.97999999999999"/>
    <x v="577"/>
    <x v="0"/>
    <x v="3"/>
    <x v="956"/>
    <n v="3"/>
    <x v="0"/>
    <x v="1"/>
    <n v="321.95999999999998"/>
  </r>
  <r>
    <x v="957"/>
    <x v="602"/>
    <x v="950"/>
    <x v="0"/>
    <x v="0"/>
    <n v="643.89"/>
    <x v="578"/>
    <x v="4"/>
    <x v="2"/>
    <x v="957"/>
    <n v="8"/>
    <x v="3"/>
    <x v="3"/>
    <n v="3219.45"/>
  </r>
  <r>
    <x v="958"/>
    <x v="603"/>
    <x v="951"/>
    <x v="6"/>
    <x v="4"/>
    <n v="158.66"/>
    <x v="246"/>
    <x v="3"/>
    <x v="3"/>
    <x v="958"/>
    <n v="7"/>
    <x v="3"/>
    <x v="2"/>
    <n v="475.98"/>
  </r>
  <r>
    <x v="959"/>
    <x v="604"/>
    <x v="952"/>
    <x v="2"/>
    <x v="1"/>
    <n v="143.82"/>
    <x v="252"/>
    <x v="2"/>
    <x v="2"/>
    <x v="959"/>
    <n v="6"/>
    <x v="0"/>
    <x v="0"/>
    <n v="287.64"/>
  </r>
  <r>
    <x v="960"/>
    <x v="66"/>
    <x v="953"/>
    <x v="5"/>
    <x v="4"/>
    <n v="379.07"/>
    <x v="304"/>
    <x v="3"/>
    <x v="4"/>
    <x v="960"/>
    <n v="3"/>
    <x v="3"/>
    <x v="4"/>
    <n v="1137.21"/>
  </r>
  <r>
    <x v="961"/>
    <x v="435"/>
    <x v="954"/>
    <x v="1"/>
    <x v="2"/>
    <n v="601.36"/>
    <x v="275"/>
    <x v="1"/>
    <x v="0"/>
    <x v="961"/>
    <n v="1"/>
    <x v="2"/>
    <x v="3"/>
    <n v="601.36"/>
  </r>
  <r>
    <x v="962"/>
    <x v="605"/>
    <x v="955"/>
    <x v="1"/>
    <x v="1"/>
    <n v="142.08000000000001"/>
    <x v="211"/>
    <x v="3"/>
    <x v="3"/>
    <x v="962"/>
    <n v="4"/>
    <x v="0"/>
    <x v="1"/>
    <n v="284.16000000000003"/>
  </r>
  <r>
    <x v="963"/>
    <x v="606"/>
    <x v="956"/>
    <x v="3"/>
    <x v="0"/>
    <n v="530.34"/>
    <x v="162"/>
    <x v="1"/>
    <x v="0"/>
    <x v="963"/>
    <n v="9"/>
    <x v="1"/>
    <x v="4"/>
    <n v="2651.7"/>
  </r>
  <r>
    <x v="964"/>
    <x v="38"/>
    <x v="957"/>
    <x v="1"/>
    <x v="0"/>
    <n v="364.42"/>
    <x v="320"/>
    <x v="2"/>
    <x v="1"/>
    <x v="964"/>
    <n v="10"/>
    <x v="0"/>
    <x v="1"/>
    <n v="1822.1"/>
  </r>
  <r>
    <x v="965"/>
    <x v="607"/>
    <x v="958"/>
    <x v="5"/>
    <x v="3"/>
    <n v="578.28"/>
    <x v="231"/>
    <x v="3"/>
    <x v="1"/>
    <x v="965"/>
    <n v="5"/>
    <x v="1"/>
    <x v="2"/>
    <n v="2313.12"/>
  </r>
  <r>
    <x v="966"/>
    <x v="608"/>
    <x v="959"/>
    <x v="0"/>
    <x v="0"/>
    <n v="280.52"/>
    <x v="579"/>
    <x v="2"/>
    <x v="1"/>
    <x v="966"/>
    <n v="7"/>
    <x v="3"/>
    <x v="3"/>
    <n v="1402.6"/>
  </r>
  <r>
    <x v="967"/>
    <x v="138"/>
    <x v="960"/>
    <x v="2"/>
    <x v="0"/>
    <n v="638.91999999999996"/>
    <x v="580"/>
    <x v="2"/>
    <x v="2"/>
    <x v="967"/>
    <n v="5"/>
    <x v="1"/>
    <x v="4"/>
    <n v="3194.6"/>
  </r>
  <r>
    <x v="968"/>
    <x v="458"/>
    <x v="961"/>
    <x v="0"/>
    <x v="3"/>
    <n v="412.2"/>
    <x v="533"/>
    <x v="2"/>
    <x v="0"/>
    <x v="968"/>
    <n v="6"/>
    <x v="3"/>
    <x v="1"/>
    <n v="1648.8"/>
  </r>
  <r>
    <x v="969"/>
    <x v="85"/>
    <x v="962"/>
    <x v="6"/>
    <x v="2"/>
    <n v="440.34"/>
    <x v="581"/>
    <x v="3"/>
    <x v="0"/>
    <x v="969"/>
    <n v="2"/>
    <x v="3"/>
    <x v="3"/>
    <n v="440.34"/>
  </r>
  <r>
    <x v="970"/>
    <x v="609"/>
    <x v="963"/>
    <x v="6"/>
    <x v="2"/>
    <n v="627.15"/>
    <x v="582"/>
    <x v="4"/>
    <x v="3"/>
    <x v="970"/>
    <n v="5"/>
    <x v="0"/>
    <x v="0"/>
    <n v="627.15"/>
  </r>
  <r>
    <x v="971"/>
    <x v="582"/>
    <x v="964"/>
    <x v="0"/>
    <x v="1"/>
    <n v="605.26"/>
    <x v="5"/>
    <x v="4"/>
    <x v="1"/>
    <x v="971"/>
    <n v="4"/>
    <x v="3"/>
    <x v="1"/>
    <n v="1210.52"/>
  </r>
  <r>
    <x v="972"/>
    <x v="410"/>
    <x v="965"/>
    <x v="5"/>
    <x v="2"/>
    <n v="90.27"/>
    <x v="583"/>
    <x v="4"/>
    <x v="3"/>
    <x v="972"/>
    <n v="5"/>
    <x v="0"/>
    <x v="3"/>
    <n v="90.27"/>
  </r>
  <r>
    <x v="973"/>
    <x v="559"/>
    <x v="966"/>
    <x v="6"/>
    <x v="0"/>
    <n v="230.77"/>
    <x v="567"/>
    <x v="1"/>
    <x v="4"/>
    <x v="973"/>
    <n v="10"/>
    <x v="3"/>
    <x v="1"/>
    <n v="1153.8499999999999"/>
  </r>
  <r>
    <x v="974"/>
    <x v="610"/>
    <x v="967"/>
    <x v="6"/>
    <x v="0"/>
    <n v="266.77999999999997"/>
    <x v="263"/>
    <x v="3"/>
    <x v="1"/>
    <x v="974"/>
    <n v="5"/>
    <x v="2"/>
    <x v="2"/>
    <n v="1333.9"/>
  </r>
  <r>
    <x v="975"/>
    <x v="419"/>
    <x v="968"/>
    <x v="6"/>
    <x v="2"/>
    <n v="105.92"/>
    <x v="233"/>
    <x v="3"/>
    <x v="2"/>
    <x v="975"/>
    <n v="6"/>
    <x v="0"/>
    <x v="2"/>
    <n v="105.92"/>
  </r>
  <r>
    <x v="976"/>
    <x v="172"/>
    <x v="969"/>
    <x v="2"/>
    <x v="4"/>
    <n v="589.29999999999995"/>
    <x v="531"/>
    <x v="2"/>
    <x v="2"/>
    <x v="976"/>
    <n v="6"/>
    <x v="3"/>
    <x v="1"/>
    <n v="1767.9"/>
  </r>
  <r>
    <x v="977"/>
    <x v="423"/>
    <x v="970"/>
    <x v="3"/>
    <x v="3"/>
    <n v="649.47"/>
    <x v="584"/>
    <x v="4"/>
    <x v="4"/>
    <x v="977"/>
    <n v="8"/>
    <x v="0"/>
    <x v="4"/>
    <n v="2597.88"/>
  </r>
  <r>
    <x v="978"/>
    <x v="611"/>
    <x v="971"/>
    <x v="4"/>
    <x v="3"/>
    <n v="107.49"/>
    <x v="477"/>
    <x v="4"/>
    <x v="3"/>
    <x v="978"/>
    <n v="5"/>
    <x v="2"/>
    <x v="4"/>
    <n v="429.96"/>
  </r>
  <r>
    <x v="979"/>
    <x v="546"/>
    <x v="972"/>
    <x v="0"/>
    <x v="4"/>
    <n v="669.06"/>
    <x v="238"/>
    <x v="4"/>
    <x v="3"/>
    <x v="979"/>
    <n v="7"/>
    <x v="0"/>
    <x v="3"/>
    <n v="2007.18"/>
  </r>
  <r>
    <x v="980"/>
    <x v="612"/>
    <x v="973"/>
    <x v="3"/>
    <x v="4"/>
    <n v="69.650000000000006"/>
    <x v="585"/>
    <x v="4"/>
    <x v="3"/>
    <x v="980"/>
    <n v="7"/>
    <x v="3"/>
    <x v="0"/>
    <n v="208.95"/>
  </r>
  <r>
    <x v="981"/>
    <x v="371"/>
    <x v="974"/>
    <x v="1"/>
    <x v="3"/>
    <n v="136.83000000000001"/>
    <x v="586"/>
    <x v="0"/>
    <x v="4"/>
    <x v="981"/>
    <n v="8"/>
    <x v="0"/>
    <x v="2"/>
    <n v="547.32000000000005"/>
  </r>
  <r>
    <x v="982"/>
    <x v="605"/>
    <x v="975"/>
    <x v="0"/>
    <x v="2"/>
    <n v="304.11"/>
    <x v="479"/>
    <x v="3"/>
    <x v="0"/>
    <x v="982"/>
    <n v="2"/>
    <x v="0"/>
    <x v="1"/>
    <n v="304.11"/>
  </r>
  <r>
    <x v="983"/>
    <x v="167"/>
    <x v="976"/>
    <x v="0"/>
    <x v="3"/>
    <n v="296.27999999999997"/>
    <x v="587"/>
    <x v="3"/>
    <x v="0"/>
    <x v="983"/>
    <n v="5"/>
    <x v="0"/>
    <x v="2"/>
    <n v="1185.1199999999999"/>
  </r>
  <r>
    <x v="984"/>
    <x v="252"/>
    <x v="977"/>
    <x v="6"/>
    <x v="2"/>
    <n v="77.64"/>
    <x v="7"/>
    <x v="2"/>
    <x v="0"/>
    <x v="984"/>
    <n v="1"/>
    <x v="1"/>
    <x v="3"/>
    <n v="77.64"/>
  </r>
  <r>
    <x v="985"/>
    <x v="351"/>
    <x v="978"/>
    <x v="6"/>
    <x v="2"/>
    <n v="243.71"/>
    <x v="198"/>
    <x v="3"/>
    <x v="3"/>
    <x v="985"/>
    <n v="6"/>
    <x v="0"/>
    <x v="4"/>
    <n v="243.71"/>
  </r>
  <r>
    <x v="986"/>
    <x v="609"/>
    <x v="979"/>
    <x v="5"/>
    <x v="3"/>
    <n v="644.96"/>
    <x v="91"/>
    <x v="2"/>
    <x v="4"/>
    <x v="986"/>
    <n v="7"/>
    <x v="1"/>
    <x v="2"/>
    <n v="2579.84"/>
  </r>
  <r>
    <x v="987"/>
    <x v="85"/>
    <x v="980"/>
    <x v="1"/>
    <x v="0"/>
    <n v="283.73"/>
    <x v="342"/>
    <x v="3"/>
    <x v="4"/>
    <x v="987"/>
    <n v="8"/>
    <x v="1"/>
    <x v="0"/>
    <n v="1418.65"/>
  </r>
  <r>
    <x v="988"/>
    <x v="496"/>
    <x v="981"/>
    <x v="6"/>
    <x v="1"/>
    <n v="629.55999999999995"/>
    <x v="277"/>
    <x v="3"/>
    <x v="1"/>
    <x v="988"/>
    <n v="5"/>
    <x v="3"/>
    <x v="0"/>
    <n v="1259.1199999999999"/>
  </r>
  <r>
    <x v="989"/>
    <x v="613"/>
    <x v="982"/>
    <x v="5"/>
    <x v="3"/>
    <n v="246.11"/>
    <x v="588"/>
    <x v="2"/>
    <x v="4"/>
    <x v="989"/>
    <n v="4"/>
    <x v="0"/>
    <x v="0"/>
    <n v="984.44"/>
  </r>
  <r>
    <x v="990"/>
    <x v="614"/>
    <x v="983"/>
    <x v="1"/>
    <x v="1"/>
    <n v="418.26"/>
    <x v="589"/>
    <x v="0"/>
    <x v="4"/>
    <x v="990"/>
    <n v="2"/>
    <x v="0"/>
    <x v="4"/>
    <n v="836.52"/>
  </r>
  <r>
    <x v="991"/>
    <x v="593"/>
    <x v="984"/>
    <x v="6"/>
    <x v="0"/>
    <n v="127.18"/>
    <x v="128"/>
    <x v="0"/>
    <x v="1"/>
    <x v="991"/>
    <n v="10"/>
    <x v="1"/>
    <x v="4"/>
    <n v="635.90000000000009"/>
  </r>
  <r>
    <x v="992"/>
    <x v="615"/>
    <x v="985"/>
    <x v="4"/>
    <x v="4"/>
    <n v="586.21"/>
    <x v="133"/>
    <x v="3"/>
    <x v="4"/>
    <x v="992"/>
    <n v="4"/>
    <x v="3"/>
    <x v="1"/>
    <n v="1758.63"/>
  </r>
  <r>
    <x v="993"/>
    <x v="616"/>
    <x v="986"/>
    <x v="0"/>
    <x v="4"/>
    <n v="267.45"/>
    <x v="590"/>
    <x v="3"/>
    <x v="3"/>
    <x v="993"/>
    <n v="5"/>
    <x v="3"/>
    <x v="0"/>
    <n v="802.34999999999991"/>
  </r>
  <r>
    <x v="994"/>
    <x v="326"/>
    <x v="987"/>
    <x v="2"/>
    <x v="3"/>
    <n v="615.65"/>
    <x v="76"/>
    <x v="0"/>
    <x v="3"/>
    <x v="994"/>
    <n v="9"/>
    <x v="3"/>
    <x v="4"/>
    <n v="2462.6"/>
  </r>
  <r>
    <x v="995"/>
    <x v="134"/>
    <x v="988"/>
    <x v="0"/>
    <x v="1"/>
    <n v="113.29"/>
    <x v="391"/>
    <x v="4"/>
    <x v="4"/>
    <x v="995"/>
    <n v="5"/>
    <x v="0"/>
    <x v="3"/>
    <n v="226.58"/>
  </r>
  <r>
    <x v="996"/>
    <x v="578"/>
    <x v="989"/>
    <x v="0"/>
    <x v="3"/>
    <n v="473.86"/>
    <x v="267"/>
    <x v="0"/>
    <x v="3"/>
    <x v="996"/>
    <n v="7"/>
    <x v="0"/>
    <x v="3"/>
    <n v="1895.44"/>
  </r>
  <r>
    <x v="997"/>
    <x v="110"/>
    <x v="990"/>
    <x v="5"/>
    <x v="4"/>
    <n v="444.75"/>
    <x v="385"/>
    <x v="4"/>
    <x v="3"/>
    <x v="997"/>
    <n v="6"/>
    <x v="0"/>
    <x v="3"/>
    <n v="1334.25"/>
  </r>
  <r>
    <x v="998"/>
    <x v="213"/>
    <x v="991"/>
    <x v="1"/>
    <x v="1"/>
    <n v="183.67"/>
    <x v="204"/>
    <x v="0"/>
    <x v="1"/>
    <x v="998"/>
    <n v="6"/>
    <x v="0"/>
    <x v="4"/>
    <n v="367.34"/>
  </r>
  <r>
    <x v="999"/>
    <x v="478"/>
    <x v="992"/>
    <x v="4"/>
    <x v="2"/>
    <n v="483.38"/>
    <x v="331"/>
    <x v="4"/>
    <x v="4"/>
    <x v="999"/>
    <n v="6"/>
    <x v="1"/>
    <x v="4"/>
    <n v="483.38"/>
  </r>
  <r>
    <x v="1000"/>
    <x v="617"/>
    <x v="993"/>
    <x v="4"/>
    <x v="0"/>
    <n v="260.93"/>
    <x v="591"/>
    <x v="1"/>
    <x v="3"/>
    <x v="1000"/>
    <n v="9"/>
    <x v="0"/>
    <x v="2"/>
    <n v="1304.6500000000001"/>
  </r>
  <r>
    <x v="1001"/>
    <x v="618"/>
    <x v="994"/>
    <x v="4"/>
    <x v="1"/>
    <n v="253.68"/>
    <x v="108"/>
    <x v="3"/>
    <x v="0"/>
    <x v="1001"/>
    <n v="6"/>
    <x v="2"/>
    <x v="1"/>
    <n v="507.36"/>
  </r>
  <r>
    <x v="1002"/>
    <x v="619"/>
    <x v="995"/>
    <x v="2"/>
    <x v="3"/>
    <n v="699.88"/>
    <x v="95"/>
    <x v="4"/>
    <x v="4"/>
    <x v="1002"/>
    <n v="5"/>
    <x v="3"/>
    <x v="1"/>
    <n v="2799.52"/>
  </r>
  <r>
    <x v="1003"/>
    <x v="348"/>
    <x v="996"/>
    <x v="4"/>
    <x v="0"/>
    <n v="319.97000000000003"/>
    <x v="591"/>
    <x v="4"/>
    <x v="0"/>
    <x v="1003"/>
    <n v="7"/>
    <x v="0"/>
    <x v="4"/>
    <n v="1599.85"/>
  </r>
  <r>
    <x v="1004"/>
    <x v="559"/>
    <x v="997"/>
    <x v="3"/>
    <x v="3"/>
    <n v="246.91"/>
    <x v="26"/>
    <x v="1"/>
    <x v="4"/>
    <x v="1004"/>
    <n v="8"/>
    <x v="0"/>
    <x v="1"/>
    <n v="987.64"/>
  </r>
  <r>
    <x v="1005"/>
    <x v="521"/>
    <x v="998"/>
    <x v="4"/>
    <x v="4"/>
    <n v="392.85"/>
    <x v="519"/>
    <x v="2"/>
    <x v="2"/>
    <x v="1005"/>
    <n v="6"/>
    <x v="2"/>
    <x v="4"/>
    <n v="1178.55"/>
  </r>
  <r>
    <x v="1006"/>
    <x v="582"/>
    <x v="999"/>
    <x v="2"/>
    <x v="0"/>
    <n v="420.98"/>
    <x v="458"/>
    <x v="4"/>
    <x v="3"/>
    <x v="1006"/>
    <n v="7"/>
    <x v="0"/>
    <x v="3"/>
    <n v="2104.9"/>
  </r>
  <r>
    <x v="1007"/>
    <x v="591"/>
    <x v="485"/>
    <x v="0"/>
    <x v="1"/>
    <n v="73.260000000000005"/>
    <x v="89"/>
    <x v="4"/>
    <x v="4"/>
    <x v="1007"/>
    <n v="4"/>
    <x v="3"/>
    <x v="3"/>
    <n v="146.52000000000001"/>
  </r>
  <r>
    <x v="1008"/>
    <x v="620"/>
    <x v="1000"/>
    <x v="0"/>
    <x v="4"/>
    <n v="410.88"/>
    <x v="506"/>
    <x v="4"/>
    <x v="3"/>
    <x v="1008"/>
    <n v="8"/>
    <x v="1"/>
    <x v="0"/>
    <n v="1232.6400000000001"/>
  </r>
  <r>
    <x v="1009"/>
    <x v="621"/>
    <x v="1001"/>
    <x v="2"/>
    <x v="1"/>
    <n v="176.46"/>
    <x v="386"/>
    <x v="2"/>
    <x v="3"/>
    <x v="1009"/>
    <n v="2"/>
    <x v="1"/>
    <x v="2"/>
    <n v="352.92"/>
  </r>
  <r>
    <x v="1010"/>
    <x v="622"/>
    <x v="1002"/>
    <x v="0"/>
    <x v="4"/>
    <n v="659.57"/>
    <x v="91"/>
    <x v="2"/>
    <x v="1"/>
    <x v="1010"/>
    <n v="6"/>
    <x v="0"/>
    <x v="2"/>
    <n v="1978.71"/>
  </r>
  <r>
    <x v="1011"/>
    <x v="623"/>
    <x v="1003"/>
    <x v="1"/>
    <x v="1"/>
    <n v="478.36"/>
    <x v="236"/>
    <x v="1"/>
    <x v="0"/>
    <x v="1011"/>
    <n v="3"/>
    <x v="2"/>
    <x v="4"/>
    <n v="956.72"/>
  </r>
  <r>
    <x v="1012"/>
    <x v="623"/>
    <x v="1004"/>
    <x v="4"/>
    <x v="3"/>
    <n v="30.05"/>
    <x v="266"/>
    <x v="1"/>
    <x v="2"/>
    <x v="1012"/>
    <n v="6"/>
    <x v="2"/>
    <x v="3"/>
    <n v="120.2"/>
  </r>
  <r>
    <x v="1013"/>
    <x v="624"/>
    <x v="1005"/>
    <x v="5"/>
    <x v="3"/>
    <n v="300.56"/>
    <x v="53"/>
    <x v="4"/>
    <x v="1"/>
    <x v="1013"/>
    <n v="9"/>
    <x v="1"/>
    <x v="3"/>
    <n v="1202.24"/>
  </r>
  <r>
    <x v="1014"/>
    <x v="389"/>
    <x v="1006"/>
    <x v="2"/>
    <x v="0"/>
    <n v="226.45"/>
    <x v="352"/>
    <x v="0"/>
    <x v="2"/>
    <x v="1014"/>
    <n v="6"/>
    <x v="1"/>
    <x v="2"/>
    <n v="1132.25"/>
  </r>
  <r>
    <x v="1015"/>
    <x v="547"/>
    <x v="1007"/>
    <x v="4"/>
    <x v="1"/>
    <n v="349.4"/>
    <x v="428"/>
    <x v="1"/>
    <x v="0"/>
    <x v="1015"/>
    <n v="2"/>
    <x v="0"/>
    <x v="0"/>
    <n v="698.8"/>
  </r>
  <r>
    <x v="1016"/>
    <x v="10"/>
    <x v="1008"/>
    <x v="2"/>
    <x v="0"/>
    <n v="268.77999999999997"/>
    <x v="592"/>
    <x v="0"/>
    <x v="3"/>
    <x v="1016"/>
    <n v="7"/>
    <x v="3"/>
    <x v="2"/>
    <n v="1343.9"/>
  </r>
  <r>
    <x v="1017"/>
    <x v="625"/>
    <x v="1009"/>
    <x v="3"/>
    <x v="1"/>
    <n v="680.85"/>
    <x v="593"/>
    <x v="3"/>
    <x v="3"/>
    <x v="1017"/>
    <n v="6"/>
    <x v="1"/>
    <x v="1"/>
    <n v="1361.7"/>
  </r>
  <r>
    <x v="1018"/>
    <x v="307"/>
    <x v="1010"/>
    <x v="5"/>
    <x v="4"/>
    <n v="182.48"/>
    <x v="594"/>
    <x v="4"/>
    <x v="3"/>
    <x v="1018"/>
    <n v="3"/>
    <x v="2"/>
    <x v="0"/>
    <n v="547.43999999999994"/>
  </r>
  <r>
    <x v="1019"/>
    <x v="616"/>
    <x v="1011"/>
    <x v="6"/>
    <x v="2"/>
    <n v="277.08999999999997"/>
    <x v="284"/>
    <x v="4"/>
    <x v="2"/>
    <x v="1019"/>
    <n v="2"/>
    <x v="0"/>
    <x v="1"/>
    <n v="277.08999999999997"/>
  </r>
  <r>
    <x v="1020"/>
    <x v="181"/>
    <x v="1012"/>
    <x v="2"/>
    <x v="1"/>
    <n v="26.5"/>
    <x v="304"/>
    <x v="1"/>
    <x v="3"/>
    <x v="1020"/>
    <n v="3"/>
    <x v="0"/>
    <x v="0"/>
    <n v="53"/>
  </r>
  <r>
    <x v="1021"/>
    <x v="5"/>
    <x v="1013"/>
    <x v="1"/>
    <x v="4"/>
    <n v="315.27"/>
    <x v="551"/>
    <x v="2"/>
    <x v="1"/>
    <x v="1021"/>
    <n v="4"/>
    <x v="0"/>
    <x v="2"/>
    <n v="945.81"/>
  </r>
  <r>
    <x v="1022"/>
    <x v="522"/>
    <x v="1014"/>
    <x v="2"/>
    <x v="4"/>
    <n v="450.98"/>
    <x v="467"/>
    <x v="2"/>
    <x v="0"/>
    <x v="1022"/>
    <n v="8"/>
    <x v="0"/>
    <x v="1"/>
    <n v="1352.94"/>
  </r>
  <r>
    <x v="1023"/>
    <x v="296"/>
    <x v="1015"/>
    <x v="5"/>
    <x v="0"/>
    <n v="233.67"/>
    <x v="83"/>
    <x v="4"/>
    <x v="0"/>
    <x v="1023"/>
    <n v="10"/>
    <x v="2"/>
    <x v="1"/>
    <n v="1168.3499999999999"/>
  </r>
  <r>
    <x v="1024"/>
    <x v="412"/>
    <x v="1016"/>
    <x v="3"/>
    <x v="4"/>
    <n v="367.75"/>
    <x v="359"/>
    <x v="4"/>
    <x v="4"/>
    <x v="1024"/>
    <n v="7"/>
    <x v="1"/>
    <x v="3"/>
    <n v="1103.25"/>
  </r>
  <r>
    <x v="1025"/>
    <x v="271"/>
    <x v="1017"/>
    <x v="3"/>
    <x v="2"/>
    <n v="23.53"/>
    <x v="138"/>
    <x v="3"/>
    <x v="3"/>
    <x v="1025"/>
    <n v="2"/>
    <x v="1"/>
    <x v="0"/>
    <n v="23.53"/>
  </r>
  <r>
    <x v="1026"/>
    <x v="31"/>
    <x v="1018"/>
    <x v="0"/>
    <x v="2"/>
    <n v="677.48"/>
    <x v="111"/>
    <x v="1"/>
    <x v="3"/>
    <x v="1026"/>
    <n v="1"/>
    <x v="3"/>
    <x v="3"/>
    <n v="677.48"/>
  </r>
  <r>
    <x v="1027"/>
    <x v="626"/>
    <x v="1019"/>
    <x v="5"/>
    <x v="3"/>
    <n v="554.83000000000004"/>
    <x v="498"/>
    <x v="4"/>
    <x v="2"/>
    <x v="1027"/>
    <n v="6"/>
    <x v="2"/>
    <x v="4"/>
    <n v="2219.3200000000002"/>
  </r>
  <r>
    <x v="1028"/>
    <x v="96"/>
    <x v="1020"/>
    <x v="6"/>
    <x v="3"/>
    <n v="440.31"/>
    <x v="200"/>
    <x v="4"/>
    <x v="1"/>
    <x v="1028"/>
    <n v="6"/>
    <x v="2"/>
    <x v="0"/>
    <n v="1761.24"/>
  </r>
  <r>
    <x v="1029"/>
    <x v="627"/>
    <x v="1021"/>
    <x v="6"/>
    <x v="2"/>
    <n v="87.06"/>
    <x v="578"/>
    <x v="2"/>
    <x v="0"/>
    <x v="1029"/>
    <n v="4"/>
    <x v="1"/>
    <x v="2"/>
    <n v="87.06"/>
  </r>
  <r>
    <x v="1030"/>
    <x v="276"/>
    <x v="1022"/>
    <x v="1"/>
    <x v="3"/>
    <n v="245.28"/>
    <x v="595"/>
    <x v="2"/>
    <x v="3"/>
    <x v="1030"/>
    <n v="6"/>
    <x v="3"/>
    <x v="2"/>
    <n v="981.12"/>
  </r>
  <r>
    <x v="1031"/>
    <x v="285"/>
    <x v="1023"/>
    <x v="1"/>
    <x v="0"/>
    <n v="664.51"/>
    <x v="596"/>
    <x v="0"/>
    <x v="4"/>
    <x v="1031"/>
    <n v="8"/>
    <x v="0"/>
    <x v="2"/>
    <n v="3322.55"/>
  </r>
  <r>
    <x v="1032"/>
    <x v="197"/>
    <x v="1024"/>
    <x v="3"/>
    <x v="2"/>
    <n v="618.67999999999995"/>
    <x v="243"/>
    <x v="1"/>
    <x v="3"/>
    <x v="1032"/>
    <n v="6"/>
    <x v="3"/>
    <x v="1"/>
    <n v="618.67999999999995"/>
  </r>
  <r>
    <x v="1033"/>
    <x v="628"/>
    <x v="1025"/>
    <x v="0"/>
    <x v="2"/>
    <n v="370.85"/>
    <x v="597"/>
    <x v="3"/>
    <x v="3"/>
    <x v="1033"/>
    <n v="2"/>
    <x v="1"/>
    <x v="1"/>
    <n v="370.85"/>
  </r>
  <r>
    <x v="1034"/>
    <x v="452"/>
    <x v="1026"/>
    <x v="4"/>
    <x v="3"/>
    <n v="517.98"/>
    <x v="598"/>
    <x v="4"/>
    <x v="1"/>
    <x v="1034"/>
    <n v="8"/>
    <x v="1"/>
    <x v="3"/>
    <n v="2071.92"/>
  </r>
  <r>
    <x v="1035"/>
    <x v="629"/>
    <x v="1027"/>
    <x v="5"/>
    <x v="3"/>
    <n v="506.11"/>
    <x v="599"/>
    <x v="4"/>
    <x v="1"/>
    <x v="1035"/>
    <n v="5"/>
    <x v="2"/>
    <x v="1"/>
    <n v="2024.44"/>
  </r>
  <r>
    <x v="1036"/>
    <x v="583"/>
    <x v="1028"/>
    <x v="1"/>
    <x v="4"/>
    <n v="413.83"/>
    <x v="64"/>
    <x v="3"/>
    <x v="0"/>
    <x v="1036"/>
    <n v="8"/>
    <x v="0"/>
    <x v="3"/>
    <n v="1241.49"/>
  </r>
  <r>
    <x v="1037"/>
    <x v="141"/>
    <x v="1029"/>
    <x v="4"/>
    <x v="2"/>
    <n v="249.81"/>
    <x v="465"/>
    <x v="4"/>
    <x v="4"/>
    <x v="1037"/>
    <n v="1"/>
    <x v="0"/>
    <x v="4"/>
    <n v="249.81"/>
  </r>
  <r>
    <x v="1038"/>
    <x v="175"/>
    <x v="1030"/>
    <x v="2"/>
    <x v="4"/>
    <n v="362.53"/>
    <x v="600"/>
    <x v="0"/>
    <x v="2"/>
    <x v="1038"/>
    <n v="5"/>
    <x v="2"/>
    <x v="3"/>
    <n v="1087.5899999999999"/>
  </r>
  <r>
    <x v="1039"/>
    <x v="164"/>
    <x v="1031"/>
    <x v="6"/>
    <x v="1"/>
    <n v="299.23"/>
    <x v="601"/>
    <x v="2"/>
    <x v="1"/>
    <x v="1039"/>
    <n v="2"/>
    <x v="3"/>
    <x v="0"/>
    <n v="598.46"/>
  </r>
  <r>
    <x v="1040"/>
    <x v="375"/>
    <x v="1032"/>
    <x v="2"/>
    <x v="2"/>
    <n v="536.07000000000005"/>
    <x v="407"/>
    <x v="0"/>
    <x v="3"/>
    <x v="1040"/>
    <n v="5"/>
    <x v="1"/>
    <x v="4"/>
    <n v="536.07000000000005"/>
  </r>
  <r>
    <x v="1041"/>
    <x v="91"/>
    <x v="1033"/>
    <x v="0"/>
    <x v="3"/>
    <n v="558.9"/>
    <x v="198"/>
    <x v="3"/>
    <x v="0"/>
    <x v="1041"/>
    <n v="9"/>
    <x v="3"/>
    <x v="4"/>
    <n v="2235.6"/>
  </r>
  <r>
    <x v="1042"/>
    <x v="65"/>
    <x v="1034"/>
    <x v="2"/>
    <x v="1"/>
    <n v="409.75"/>
    <x v="271"/>
    <x v="0"/>
    <x v="0"/>
    <x v="1042"/>
    <n v="2"/>
    <x v="3"/>
    <x v="3"/>
    <n v="819.5"/>
  </r>
  <r>
    <x v="1043"/>
    <x v="630"/>
    <x v="1035"/>
    <x v="2"/>
    <x v="1"/>
    <n v="179.96"/>
    <x v="581"/>
    <x v="3"/>
    <x v="0"/>
    <x v="1043"/>
    <n v="5"/>
    <x v="2"/>
    <x v="0"/>
    <n v="359.92"/>
  </r>
  <r>
    <x v="1044"/>
    <x v="450"/>
    <x v="1036"/>
    <x v="4"/>
    <x v="2"/>
    <n v="38.49"/>
    <x v="602"/>
    <x v="2"/>
    <x v="3"/>
    <x v="1044"/>
    <n v="4"/>
    <x v="1"/>
    <x v="1"/>
    <n v="38.49"/>
  </r>
  <r>
    <x v="1045"/>
    <x v="28"/>
    <x v="1037"/>
    <x v="5"/>
    <x v="0"/>
    <n v="316.39999999999998"/>
    <x v="603"/>
    <x v="3"/>
    <x v="2"/>
    <x v="1045"/>
    <n v="7"/>
    <x v="2"/>
    <x v="2"/>
    <n v="1582"/>
  </r>
  <r>
    <x v="1046"/>
    <x v="550"/>
    <x v="1038"/>
    <x v="2"/>
    <x v="4"/>
    <n v="547.15"/>
    <x v="604"/>
    <x v="1"/>
    <x v="0"/>
    <x v="1046"/>
    <n v="4"/>
    <x v="3"/>
    <x v="0"/>
    <n v="1641.45"/>
  </r>
  <r>
    <x v="1047"/>
    <x v="467"/>
    <x v="1039"/>
    <x v="3"/>
    <x v="3"/>
    <n v="540.34"/>
    <x v="605"/>
    <x v="3"/>
    <x v="0"/>
    <x v="1047"/>
    <n v="6"/>
    <x v="3"/>
    <x v="1"/>
    <n v="2161.36"/>
  </r>
  <r>
    <x v="1048"/>
    <x v="82"/>
    <x v="1040"/>
    <x v="0"/>
    <x v="3"/>
    <n v="73.650000000000006"/>
    <x v="606"/>
    <x v="0"/>
    <x v="0"/>
    <x v="1048"/>
    <n v="9"/>
    <x v="2"/>
    <x v="4"/>
    <n v="294.60000000000002"/>
  </r>
  <r>
    <x v="1049"/>
    <x v="408"/>
    <x v="1041"/>
    <x v="6"/>
    <x v="0"/>
    <n v="391.86"/>
    <x v="20"/>
    <x v="2"/>
    <x v="0"/>
    <x v="1049"/>
    <n v="6"/>
    <x v="2"/>
    <x v="0"/>
    <n v="1959.3"/>
  </r>
  <r>
    <x v="1050"/>
    <x v="38"/>
    <x v="1042"/>
    <x v="5"/>
    <x v="0"/>
    <n v="69.7"/>
    <x v="395"/>
    <x v="1"/>
    <x v="2"/>
    <x v="1050"/>
    <n v="9"/>
    <x v="2"/>
    <x v="0"/>
    <n v="348.5"/>
  </r>
  <r>
    <x v="1051"/>
    <x v="376"/>
    <x v="1043"/>
    <x v="0"/>
    <x v="0"/>
    <n v="26.43"/>
    <x v="607"/>
    <x v="3"/>
    <x v="0"/>
    <x v="1051"/>
    <n v="5"/>
    <x v="1"/>
    <x v="3"/>
    <n v="132.15"/>
  </r>
  <r>
    <x v="1052"/>
    <x v="631"/>
    <x v="1044"/>
    <x v="2"/>
    <x v="2"/>
    <n v="531.74"/>
    <x v="608"/>
    <x v="1"/>
    <x v="0"/>
    <x v="1052"/>
    <n v="1"/>
    <x v="3"/>
    <x v="4"/>
    <n v="531.74"/>
  </r>
  <r>
    <x v="1053"/>
    <x v="632"/>
    <x v="1045"/>
    <x v="1"/>
    <x v="1"/>
    <n v="496.62"/>
    <x v="574"/>
    <x v="1"/>
    <x v="4"/>
    <x v="1053"/>
    <n v="2"/>
    <x v="0"/>
    <x v="0"/>
    <n v="993.24"/>
  </r>
  <r>
    <x v="1054"/>
    <x v="633"/>
    <x v="1046"/>
    <x v="4"/>
    <x v="2"/>
    <n v="660.66"/>
    <x v="80"/>
    <x v="0"/>
    <x v="3"/>
    <x v="1054"/>
    <n v="3"/>
    <x v="3"/>
    <x v="0"/>
    <n v="660.66"/>
  </r>
  <r>
    <x v="1055"/>
    <x v="5"/>
    <x v="1047"/>
    <x v="0"/>
    <x v="3"/>
    <n v="274.82"/>
    <x v="407"/>
    <x v="0"/>
    <x v="3"/>
    <x v="1055"/>
    <n v="9"/>
    <x v="3"/>
    <x v="2"/>
    <n v="1099.28"/>
  </r>
  <r>
    <x v="1056"/>
    <x v="280"/>
    <x v="1048"/>
    <x v="1"/>
    <x v="1"/>
    <n v="486.35"/>
    <x v="156"/>
    <x v="1"/>
    <x v="4"/>
    <x v="1056"/>
    <n v="6"/>
    <x v="0"/>
    <x v="1"/>
    <n v="972.7"/>
  </r>
  <r>
    <x v="1057"/>
    <x v="634"/>
    <x v="1049"/>
    <x v="5"/>
    <x v="4"/>
    <n v="428.88"/>
    <x v="153"/>
    <x v="0"/>
    <x v="0"/>
    <x v="1057"/>
    <n v="3"/>
    <x v="3"/>
    <x v="3"/>
    <n v="1286.6400000000001"/>
  </r>
  <r>
    <x v="1058"/>
    <x v="102"/>
    <x v="1050"/>
    <x v="6"/>
    <x v="1"/>
    <n v="412.14"/>
    <x v="230"/>
    <x v="2"/>
    <x v="2"/>
    <x v="1058"/>
    <n v="2"/>
    <x v="1"/>
    <x v="0"/>
    <n v="824.28"/>
  </r>
  <r>
    <x v="1059"/>
    <x v="491"/>
    <x v="1051"/>
    <x v="6"/>
    <x v="2"/>
    <n v="265.64"/>
    <x v="609"/>
    <x v="2"/>
    <x v="2"/>
    <x v="1059"/>
    <n v="3"/>
    <x v="3"/>
    <x v="0"/>
    <n v="265.64"/>
  </r>
  <r>
    <x v="1060"/>
    <x v="635"/>
    <x v="1052"/>
    <x v="2"/>
    <x v="1"/>
    <n v="273.43"/>
    <x v="292"/>
    <x v="4"/>
    <x v="0"/>
    <x v="1060"/>
    <n v="7"/>
    <x v="3"/>
    <x v="1"/>
    <n v="546.86"/>
  </r>
  <r>
    <x v="1061"/>
    <x v="636"/>
    <x v="1053"/>
    <x v="5"/>
    <x v="0"/>
    <n v="131.69999999999999"/>
    <x v="32"/>
    <x v="4"/>
    <x v="0"/>
    <x v="1061"/>
    <n v="8"/>
    <x v="1"/>
    <x v="4"/>
    <n v="658.5"/>
  </r>
  <r>
    <x v="1062"/>
    <x v="421"/>
    <x v="1054"/>
    <x v="3"/>
    <x v="0"/>
    <n v="85.52"/>
    <x v="266"/>
    <x v="3"/>
    <x v="1"/>
    <x v="1062"/>
    <n v="5"/>
    <x v="2"/>
    <x v="3"/>
    <n v="427.6"/>
  </r>
  <r>
    <x v="1063"/>
    <x v="83"/>
    <x v="1055"/>
    <x v="6"/>
    <x v="1"/>
    <n v="320.68"/>
    <x v="154"/>
    <x v="2"/>
    <x v="0"/>
    <x v="1063"/>
    <n v="5"/>
    <x v="1"/>
    <x v="1"/>
    <n v="641.36"/>
  </r>
  <r>
    <x v="1064"/>
    <x v="637"/>
    <x v="1056"/>
    <x v="5"/>
    <x v="3"/>
    <n v="198.81"/>
    <x v="236"/>
    <x v="4"/>
    <x v="2"/>
    <x v="1064"/>
    <n v="9"/>
    <x v="1"/>
    <x v="1"/>
    <n v="795.24"/>
  </r>
  <r>
    <x v="1065"/>
    <x v="638"/>
    <x v="1057"/>
    <x v="4"/>
    <x v="0"/>
    <n v="666.8"/>
    <x v="336"/>
    <x v="0"/>
    <x v="3"/>
    <x v="1065"/>
    <n v="7"/>
    <x v="0"/>
    <x v="1"/>
    <n v="3334"/>
  </r>
  <r>
    <x v="1066"/>
    <x v="639"/>
    <x v="1058"/>
    <x v="6"/>
    <x v="2"/>
    <n v="355.09"/>
    <x v="468"/>
    <x v="0"/>
    <x v="1"/>
    <x v="1066"/>
    <n v="5"/>
    <x v="0"/>
    <x v="0"/>
    <n v="355.09"/>
  </r>
  <r>
    <x v="1067"/>
    <x v="640"/>
    <x v="1059"/>
    <x v="1"/>
    <x v="1"/>
    <n v="316.2"/>
    <x v="65"/>
    <x v="1"/>
    <x v="2"/>
    <x v="1067"/>
    <n v="2"/>
    <x v="2"/>
    <x v="0"/>
    <n v="632.4"/>
  </r>
  <r>
    <x v="1068"/>
    <x v="240"/>
    <x v="1060"/>
    <x v="5"/>
    <x v="2"/>
    <n v="133.38999999999999"/>
    <x v="610"/>
    <x v="0"/>
    <x v="0"/>
    <x v="1068"/>
    <n v="2"/>
    <x v="0"/>
    <x v="1"/>
    <n v="133.38999999999999"/>
  </r>
  <r>
    <x v="1069"/>
    <x v="641"/>
    <x v="1061"/>
    <x v="0"/>
    <x v="2"/>
    <n v="454.23"/>
    <x v="207"/>
    <x v="3"/>
    <x v="2"/>
    <x v="1069"/>
    <n v="3"/>
    <x v="2"/>
    <x v="3"/>
    <n v="454.23"/>
  </r>
  <r>
    <x v="1070"/>
    <x v="605"/>
    <x v="1062"/>
    <x v="6"/>
    <x v="3"/>
    <n v="491.29"/>
    <x v="75"/>
    <x v="0"/>
    <x v="4"/>
    <x v="1070"/>
    <n v="6"/>
    <x v="2"/>
    <x v="2"/>
    <n v="1965.16"/>
  </r>
  <r>
    <x v="1071"/>
    <x v="53"/>
    <x v="1063"/>
    <x v="1"/>
    <x v="1"/>
    <n v="255.14"/>
    <x v="307"/>
    <x v="4"/>
    <x v="0"/>
    <x v="1071"/>
    <n v="2"/>
    <x v="2"/>
    <x v="4"/>
    <n v="510.28"/>
  </r>
  <r>
    <x v="1072"/>
    <x v="297"/>
    <x v="1064"/>
    <x v="0"/>
    <x v="2"/>
    <n v="392.61"/>
    <x v="225"/>
    <x v="3"/>
    <x v="1"/>
    <x v="1072"/>
    <n v="4"/>
    <x v="0"/>
    <x v="1"/>
    <n v="392.61"/>
  </r>
  <r>
    <x v="1073"/>
    <x v="642"/>
    <x v="1065"/>
    <x v="2"/>
    <x v="3"/>
    <n v="362.06"/>
    <x v="221"/>
    <x v="0"/>
    <x v="2"/>
    <x v="1073"/>
    <n v="4"/>
    <x v="2"/>
    <x v="3"/>
    <n v="1448.24"/>
  </r>
  <r>
    <x v="1074"/>
    <x v="451"/>
    <x v="1066"/>
    <x v="1"/>
    <x v="2"/>
    <n v="222.73"/>
    <x v="611"/>
    <x v="1"/>
    <x v="2"/>
    <x v="1074"/>
    <n v="4"/>
    <x v="2"/>
    <x v="4"/>
    <n v="222.73"/>
  </r>
  <r>
    <x v="1075"/>
    <x v="169"/>
    <x v="1067"/>
    <x v="0"/>
    <x v="1"/>
    <n v="552.63"/>
    <x v="181"/>
    <x v="0"/>
    <x v="3"/>
    <x v="1075"/>
    <n v="7"/>
    <x v="3"/>
    <x v="0"/>
    <n v="1105.26"/>
  </r>
  <r>
    <x v="1076"/>
    <x v="20"/>
    <x v="1068"/>
    <x v="5"/>
    <x v="3"/>
    <n v="686.61"/>
    <x v="595"/>
    <x v="4"/>
    <x v="0"/>
    <x v="1076"/>
    <n v="6"/>
    <x v="2"/>
    <x v="1"/>
    <n v="2746.44"/>
  </r>
  <r>
    <x v="1077"/>
    <x v="456"/>
    <x v="1069"/>
    <x v="4"/>
    <x v="4"/>
    <n v="305.16000000000003"/>
    <x v="107"/>
    <x v="2"/>
    <x v="1"/>
    <x v="1077"/>
    <n v="8"/>
    <x v="0"/>
    <x v="1"/>
    <n v="915.48"/>
  </r>
  <r>
    <x v="1078"/>
    <x v="168"/>
    <x v="1070"/>
    <x v="6"/>
    <x v="2"/>
    <n v="41.09"/>
    <x v="27"/>
    <x v="1"/>
    <x v="2"/>
    <x v="1078"/>
    <n v="4"/>
    <x v="3"/>
    <x v="2"/>
    <n v="41.09"/>
  </r>
  <r>
    <x v="1079"/>
    <x v="643"/>
    <x v="1071"/>
    <x v="1"/>
    <x v="0"/>
    <n v="634"/>
    <x v="570"/>
    <x v="3"/>
    <x v="3"/>
    <x v="1079"/>
    <n v="8"/>
    <x v="2"/>
    <x v="2"/>
    <n v="3170"/>
  </r>
  <r>
    <x v="1080"/>
    <x v="325"/>
    <x v="1072"/>
    <x v="5"/>
    <x v="0"/>
    <n v="464.74"/>
    <x v="612"/>
    <x v="3"/>
    <x v="3"/>
    <x v="1080"/>
    <n v="7"/>
    <x v="2"/>
    <x v="1"/>
    <n v="2323.6999999999998"/>
  </r>
  <r>
    <x v="1081"/>
    <x v="453"/>
    <x v="1073"/>
    <x v="0"/>
    <x v="3"/>
    <n v="425.6"/>
    <x v="294"/>
    <x v="2"/>
    <x v="4"/>
    <x v="1081"/>
    <n v="5"/>
    <x v="1"/>
    <x v="4"/>
    <n v="1702.4"/>
  </r>
  <r>
    <x v="1082"/>
    <x v="426"/>
    <x v="1074"/>
    <x v="3"/>
    <x v="4"/>
    <n v="573.22"/>
    <x v="601"/>
    <x v="0"/>
    <x v="4"/>
    <x v="1082"/>
    <n v="5"/>
    <x v="0"/>
    <x v="2"/>
    <n v="1719.66"/>
  </r>
  <r>
    <x v="1083"/>
    <x v="644"/>
    <x v="1075"/>
    <x v="3"/>
    <x v="2"/>
    <n v="123.28"/>
    <x v="30"/>
    <x v="2"/>
    <x v="3"/>
    <x v="1083"/>
    <n v="3"/>
    <x v="0"/>
    <x v="2"/>
    <n v="123.28"/>
  </r>
  <r>
    <x v="1084"/>
    <x v="124"/>
    <x v="1076"/>
    <x v="1"/>
    <x v="2"/>
    <n v="70.819999999999993"/>
    <x v="35"/>
    <x v="3"/>
    <x v="4"/>
    <x v="1084"/>
    <n v="1"/>
    <x v="3"/>
    <x v="0"/>
    <n v="70.819999999999993"/>
  </r>
  <r>
    <x v="1085"/>
    <x v="54"/>
    <x v="1077"/>
    <x v="4"/>
    <x v="1"/>
    <n v="646.69000000000005"/>
    <x v="135"/>
    <x v="0"/>
    <x v="0"/>
    <x v="1085"/>
    <n v="7"/>
    <x v="3"/>
    <x v="0"/>
    <n v="1293.3800000000001"/>
  </r>
  <r>
    <x v="1086"/>
    <x v="475"/>
    <x v="1078"/>
    <x v="2"/>
    <x v="1"/>
    <n v="513.41999999999996"/>
    <x v="613"/>
    <x v="1"/>
    <x v="4"/>
    <x v="1086"/>
    <n v="5"/>
    <x v="3"/>
    <x v="0"/>
    <n v="1026.8399999999999"/>
  </r>
  <r>
    <x v="1087"/>
    <x v="411"/>
    <x v="1079"/>
    <x v="5"/>
    <x v="3"/>
    <n v="693.07"/>
    <x v="614"/>
    <x v="1"/>
    <x v="0"/>
    <x v="1087"/>
    <n v="8"/>
    <x v="0"/>
    <x v="0"/>
    <n v="2772.28"/>
  </r>
  <r>
    <x v="1088"/>
    <x v="115"/>
    <x v="1080"/>
    <x v="6"/>
    <x v="4"/>
    <n v="491.43"/>
    <x v="615"/>
    <x v="3"/>
    <x v="0"/>
    <x v="1088"/>
    <n v="6"/>
    <x v="3"/>
    <x v="0"/>
    <n v="1474.29"/>
  </r>
  <r>
    <x v="1089"/>
    <x v="175"/>
    <x v="1081"/>
    <x v="2"/>
    <x v="1"/>
    <n v="599.74"/>
    <x v="63"/>
    <x v="3"/>
    <x v="0"/>
    <x v="1089"/>
    <n v="2"/>
    <x v="2"/>
    <x v="0"/>
    <n v="1199.48"/>
  </r>
  <r>
    <x v="1090"/>
    <x v="641"/>
    <x v="1082"/>
    <x v="0"/>
    <x v="1"/>
    <n v="650.25"/>
    <x v="31"/>
    <x v="3"/>
    <x v="2"/>
    <x v="1090"/>
    <n v="6"/>
    <x v="2"/>
    <x v="0"/>
    <n v="1300.5"/>
  </r>
  <r>
    <x v="1091"/>
    <x v="192"/>
    <x v="1083"/>
    <x v="5"/>
    <x v="4"/>
    <n v="209.48"/>
    <x v="329"/>
    <x v="0"/>
    <x v="4"/>
    <x v="1091"/>
    <n v="4"/>
    <x v="2"/>
    <x v="2"/>
    <n v="628.43999999999994"/>
  </r>
  <r>
    <x v="1092"/>
    <x v="531"/>
    <x v="1084"/>
    <x v="5"/>
    <x v="0"/>
    <n v="209.2"/>
    <x v="29"/>
    <x v="0"/>
    <x v="3"/>
    <x v="1092"/>
    <n v="6"/>
    <x v="3"/>
    <x v="2"/>
    <n v="1046"/>
  </r>
  <r>
    <x v="1093"/>
    <x v="308"/>
    <x v="1085"/>
    <x v="1"/>
    <x v="3"/>
    <n v="197.36"/>
    <x v="616"/>
    <x v="3"/>
    <x v="2"/>
    <x v="1093"/>
    <n v="9"/>
    <x v="1"/>
    <x v="0"/>
    <n v="789.44"/>
  </r>
  <r>
    <x v="1094"/>
    <x v="342"/>
    <x v="1086"/>
    <x v="4"/>
    <x v="3"/>
    <n v="648.91"/>
    <x v="617"/>
    <x v="2"/>
    <x v="0"/>
    <x v="1094"/>
    <n v="6"/>
    <x v="0"/>
    <x v="0"/>
    <n v="2595.64"/>
  </r>
  <r>
    <x v="1095"/>
    <x v="234"/>
    <x v="1087"/>
    <x v="1"/>
    <x v="1"/>
    <n v="441.54"/>
    <x v="618"/>
    <x v="1"/>
    <x v="3"/>
    <x v="1095"/>
    <n v="2"/>
    <x v="0"/>
    <x v="2"/>
    <n v="883.08"/>
  </r>
  <r>
    <x v="1096"/>
    <x v="120"/>
    <x v="1088"/>
    <x v="2"/>
    <x v="1"/>
    <n v="464.92"/>
    <x v="619"/>
    <x v="0"/>
    <x v="2"/>
    <x v="1096"/>
    <n v="2"/>
    <x v="2"/>
    <x v="3"/>
    <n v="929.84"/>
  </r>
  <r>
    <x v="1097"/>
    <x v="645"/>
    <x v="1089"/>
    <x v="0"/>
    <x v="0"/>
    <n v="506.45"/>
    <x v="620"/>
    <x v="3"/>
    <x v="0"/>
    <x v="1097"/>
    <n v="7"/>
    <x v="3"/>
    <x v="4"/>
    <n v="2532.25"/>
  </r>
  <r>
    <x v="1098"/>
    <x v="646"/>
    <x v="1090"/>
    <x v="0"/>
    <x v="3"/>
    <n v="255.86"/>
    <x v="621"/>
    <x v="2"/>
    <x v="3"/>
    <x v="1098"/>
    <n v="7"/>
    <x v="2"/>
    <x v="2"/>
    <n v="1023.44"/>
  </r>
  <r>
    <x v="1099"/>
    <x v="556"/>
    <x v="1091"/>
    <x v="5"/>
    <x v="1"/>
    <n v="125.23"/>
    <x v="314"/>
    <x v="4"/>
    <x v="1"/>
    <x v="1099"/>
    <n v="3"/>
    <x v="1"/>
    <x v="2"/>
    <n v="250.46"/>
  </r>
  <r>
    <x v="1100"/>
    <x v="538"/>
    <x v="1092"/>
    <x v="5"/>
    <x v="0"/>
    <n v="38.11"/>
    <x v="622"/>
    <x v="0"/>
    <x v="1"/>
    <x v="1100"/>
    <n v="6"/>
    <x v="3"/>
    <x v="0"/>
    <n v="190.55"/>
  </r>
  <r>
    <x v="1101"/>
    <x v="647"/>
    <x v="1093"/>
    <x v="0"/>
    <x v="4"/>
    <n v="161.97"/>
    <x v="8"/>
    <x v="4"/>
    <x v="4"/>
    <x v="1101"/>
    <n v="4"/>
    <x v="0"/>
    <x v="2"/>
    <n v="485.91"/>
  </r>
  <r>
    <x v="1102"/>
    <x v="561"/>
    <x v="14"/>
    <x v="3"/>
    <x v="3"/>
    <n v="347.17"/>
    <x v="494"/>
    <x v="0"/>
    <x v="0"/>
    <x v="1102"/>
    <n v="8"/>
    <x v="2"/>
    <x v="0"/>
    <n v="1388.68"/>
  </r>
  <r>
    <x v="1103"/>
    <x v="648"/>
    <x v="1094"/>
    <x v="5"/>
    <x v="3"/>
    <n v="276.32"/>
    <x v="67"/>
    <x v="1"/>
    <x v="3"/>
    <x v="1103"/>
    <n v="5"/>
    <x v="2"/>
    <x v="4"/>
    <n v="1105.28"/>
  </r>
  <r>
    <x v="1104"/>
    <x v="568"/>
    <x v="1095"/>
    <x v="2"/>
    <x v="3"/>
    <n v="314.76"/>
    <x v="623"/>
    <x v="1"/>
    <x v="0"/>
    <x v="1104"/>
    <n v="8"/>
    <x v="2"/>
    <x v="0"/>
    <n v="1259.04"/>
  </r>
  <r>
    <x v="1105"/>
    <x v="649"/>
    <x v="1096"/>
    <x v="2"/>
    <x v="4"/>
    <n v="475.69"/>
    <x v="234"/>
    <x v="3"/>
    <x v="1"/>
    <x v="1105"/>
    <n v="3"/>
    <x v="1"/>
    <x v="4"/>
    <n v="1427.07"/>
  </r>
  <r>
    <x v="1106"/>
    <x v="255"/>
    <x v="1097"/>
    <x v="3"/>
    <x v="2"/>
    <n v="372.8"/>
    <x v="13"/>
    <x v="4"/>
    <x v="1"/>
    <x v="1106"/>
    <n v="6"/>
    <x v="0"/>
    <x v="3"/>
    <n v="372.8"/>
  </r>
  <r>
    <x v="1107"/>
    <x v="233"/>
    <x v="1098"/>
    <x v="2"/>
    <x v="1"/>
    <n v="63.21"/>
    <x v="429"/>
    <x v="1"/>
    <x v="1"/>
    <x v="1107"/>
    <n v="4"/>
    <x v="0"/>
    <x v="4"/>
    <n v="126.42"/>
  </r>
  <r>
    <x v="1108"/>
    <x v="650"/>
    <x v="1099"/>
    <x v="5"/>
    <x v="2"/>
    <n v="634.94000000000005"/>
    <x v="624"/>
    <x v="1"/>
    <x v="1"/>
    <x v="1108"/>
    <n v="5"/>
    <x v="3"/>
    <x v="0"/>
    <n v="634.94000000000005"/>
  </r>
  <r>
    <x v="1109"/>
    <x v="651"/>
    <x v="1100"/>
    <x v="4"/>
    <x v="3"/>
    <n v="77.47"/>
    <x v="358"/>
    <x v="3"/>
    <x v="2"/>
    <x v="1109"/>
    <n v="7"/>
    <x v="0"/>
    <x v="0"/>
    <n v="309.88"/>
  </r>
  <r>
    <x v="1110"/>
    <x v="402"/>
    <x v="1101"/>
    <x v="3"/>
    <x v="4"/>
    <n v="84.31"/>
    <x v="33"/>
    <x v="2"/>
    <x v="0"/>
    <x v="1110"/>
    <n v="3"/>
    <x v="0"/>
    <x v="2"/>
    <n v="252.93"/>
  </r>
  <r>
    <x v="1111"/>
    <x v="306"/>
    <x v="1102"/>
    <x v="0"/>
    <x v="3"/>
    <n v="234.45"/>
    <x v="625"/>
    <x v="1"/>
    <x v="1"/>
    <x v="1111"/>
    <n v="9"/>
    <x v="1"/>
    <x v="0"/>
    <n v="937.8"/>
  </r>
  <r>
    <x v="1112"/>
    <x v="652"/>
    <x v="1103"/>
    <x v="6"/>
    <x v="2"/>
    <n v="356.81"/>
    <x v="116"/>
    <x v="1"/>
    <x v="3"/>
    <x v="1112"/>
    <n v="1"/>
    <x v="3"/>
    <x v="0"/>
    <n v="356.81"/>
  </r>
  <r>
    <x v="1113"/>
    <x v="111"/>
    <x v="1104"/>
    <x v="6"/>
    <x v="3"/>
    <n v="209.99"/>
    <x v="572"/>
    <x v="4"/>
    <x v="3"/>
    <x v="1113"/>
    <n v="8"/>
    <x v="2"/>
    <x v="4"/>
    <n v="839.96"/>
  </r>
  <r>
    <x v="1114"/>
    <x v="653"/>
    <x v="1105"/>
    <x v="2"/>
    <x v="4"/>
    <n v="659.88"/>
    <x v="181"/>
    <x v="3"/>
    <x v="1"/>
    <x v="1114"/>
    <n v="3"/>
    <x v="2"/>
    <x v="4"/>
    <n v="1979.64"/>
  </r>
  <r>
    <x v="1115"/>
    <x v="126"/>
    <x v="1106"/>
    <x v="5"/>
    <x v="1"/>
    <n v="336.32"/>
    <x v="203"/>
    <x v="1"/>
    <x v="2"/>
    <x v="1115"/>
    <n v="3"/>
    <x v="2"/>
    <x v="4"/>
    <n v="672.64"/>
  </r>
  <r>
    <x v="1116"/>
    <x v="612"/>
    <x v="1107"/>
    <x v="4"/>
    <x v="1"/>
    <n v="531.49"/>
    <x v="203"/>
    <x v="2"/>
    <x v="3"/>
    <x v="1116"/>
    <n v="7"/>
    <x v="3"/>
    <x v="3"/>
    <n v="1062.98"/>
  </r>
  <r>
    <x v="1117"/>
    <x v="199"/>
    <x v="1108"/>
    <x v="3"/>
    <x v="4"/>
    <n v="588.44000000000005"/>
    <x v="324"/>
    <x v="3"/>
    <x v="0"/>
    <x v="1117"/>
    <n v="8"/>
    <x v="3"/>
    <x v="4"/>
    <n v="1765.32"/>
  </r>
  <r>
    <x v="1118"/>
    <x v="75"/>
    <x v="1109"/>
    <x v="1"/>
    <x v="4"/>
    <n v="251.48"/>
    <x v="319"/>
    <x v="2"/>
    <x v="2"/>
    <x v="1118"/>
    <n v="4"/>
    <x v="2"/>
    <x v="2"/>
    <n v="754.43999999999994"/>
  </r>
  <r>
    <x v="1119"/>
    <x v="167"/>
    <x v="1110"/>
    <x v="5"/>
    <x v="2"/>
    <n v="684.65"/>
    <x v="224"/>
    <x v="2"/>
    <x v="3"/>
    <x v="1119"/>
    <n v="1"/>
    <x v="1"/>
    <x v="2"/>
    <n v="684.65"/>
  </r>
  <r>
    <x v="1120"/>
    <x v="400"/>
    <x v="1111"/>
    <x v="2"/>
    <x v="2"/>
    <n v="195.86"/>
    <x v="40"/>
    <x v="1"/>
    <x v="4"/>
    <x v="1120"/>
    <n v="3"/>
    <x v="2"/>
    <x v="3"/>
    <n v="195.86"/>
  </r>
  <r>
    <x v="1121"/>
    <x v="654"/>
    <x v="1112"/>
    <x v="1"/>
    <x v="4"/>
    <n v="50.34"/>
    <x v="555"/>
    <x v="3"/>
    <x v="2"/>
    <x v="1121"/>
    <n v="3"/>
    <x v="1"/>
    <x v="0"/>
    <n v="151.02000000000001"/>
  </r>
  <r>
    <x v="1122"/>
    <x v="323"/>
    <x v="266"/>
    <x v="0"/>
    <x v="0"/>
    <n v="678.19"/>
    <x v="598"/>
    <x v="1"/>
    <x v="2"/>
    <x v="1122"/>
    <n v="8"/>
    <x v="2"/>
    <x v="3"/>
    <n v="3390.95"/>
  </r>
  <r>
    <x v="1123"/>
    <x v="655"/>
    <x v="1113"/>
    <x v="2"/>
    <x v="4"/>
    <n v="554.25"/>
    <x v="626"/>
    <x v="0"/>
    <x v="0"/>
    <x v="1123"/>
    <n v="6"/>
    <x v="3"/>
    <x v="1"/>
    <n v="1662.75"/>
  </r>
  <r>
    <x v="1124"/>
    <x v="221"/>
    <x v="1114"/>
    <x v="3"/>
    <x v="3"/>
    <n v="576.87"/>
    <x v="627"/>
    <x v="3"/>
    <x v="2"/>
    <x v="1124"/>
    <n v="5"/>
    <x v="2"/>
    <x v="0"/>
    <n v="2307.48"/>
  </r>
  <r>
    <x v="1125"/>
    <x v="504"/>
    <x v="1115"/>
    <x v="6"/>
    <x v="3"/>
    <n v="408.36"/>
    <x v="548"/>
    <x v="3"/>
    <x v="1"/>
    <x v="1125"/>
    <n v="4"/>
    <x v="1"/>
    <x v="1"/>
    <n v="1633.44"/>
  </r>
  <r>
    <x v="1126"/>
    <x v="319"/>
    <x v="1116"/>
    <x v="1"/>
    <x v="0"/>
    <n v="190.11"/>
    <x v="628"/>
    <x v="4"/>
    <x v="3"/>
    <x v="1126"/>
    <n v="7"/>
    <x v="0"/>
    <x v="4"/>
    <n v="950.55000000000007"/>
  </r>
  <r>
    <x v="1127"/>
    <x v="175"/>
    <x v="1117"/>
    <x v="4"/>
    <x v="4"/>
    <n v="602.75"/>
    <x v="529"/>
    <x v="2"/>
    <x v="0"/>
    <x v="1127"/>
    <n v="6"/>
    <x v="0"/>
    <x v="2"/>
    <n v="1808.25"/>
  </r>
  <r>
    <x v="1128"/>
    <x v="538"/>
    <x v="1118"/>
    <x v="0"/>
    <x v="4"/>
    <n v="646.79"/>
    <x v="80"/>
    <x v="4"/>
    <x v="1"/>
    <x v="1128"/>
    <n v="5"/>
    <x v="3"/>
    <x v="4"/>
    <n v="1940.37"/>
  </r>
  <r>
    <x v="1129"/>
    <x v="236"/>
    <x v="1119"/>
    <x v="3"/>
    <x v="3"/>
    <n v="418.71"/>
    <x v="70"/>
    <x v="4"/>
    <x v="4"/>
    <x v="1129"/>
    <n v="8"/>
    <x v="1"/>
    <x v="0"/>
    <n v="1674.84"/>
  </r>
  <r>
    <x v="1130"/>
    <x v="656"/>
    <x v="1120"/>
    <x v="5"/>
    <x v="1"/>
    <n v="323.45"/>
    <x v="91"/>
    <x v="2"/>
    <x v="2"/>
    <x v="1130"/>
    <n v="5"/>
    <x v="1"/>
    <x v="0"/>
    <n v="646.9"/>
  </r>
  <r>
    <x v="1131"/>
    <x v="408"/>
    <x v="1121"/>
    <x v="1"/>
    <x v="2"/>
    <n v="694.5"/>
    <x v="241"/>
    <x v="2"/>
    <x v="4"/>
    <x v="1131"/>
    <n v="3"/>
    <x v="3"/>
    <x v="3"/>
    <n v="694.5"/>
  </r>
  <r>
    <x v="1132"/>
    <x v="657"/>
    <x v="1122"/>
    <x v="3"/>
    <x v="1"/>
    <n v="337.32"/>
    <x v="198"/>
    <x v="2"/>
    <x v="1"/>
    <x v="1132"/>
    <n v="4"/>
    <x v="0"/>
    <x v="2"/>
    <n v="674.64"/>
  </r>
  <r>
    <x v="1133"/>
    <x v="398"/>
    <x v="1123"/>
    <x v="4"/>
    <x v="1"/>
    <n v="467.91"/>
    <x v="187"/>
    <x v="3"/>
    <x v="2"/>
    <x v="1133"/>
    <n v="5"/>
    <x v="3"/>
    <x v="3"/>
    <n v="935.82"/>
  </r>
  <r>
    <x v="1134"/>
    <x v="180"/>
    <x v="1124"/>
    <x v="6"/>
    <x v="3"/>
    <n v="38.28"/>
    <x v="629"/>
    <x v="0"/>
    <x v="1"/>
    <x v="1134"/>
    <n v="4"/>
    <x v="3"/>
    <x v="3"/>
    <n v="153.12"/>
  </r>
  <r>
    <x v="1135"/>
    <x v="153"/>
    <x v="1125"/>
    <x v="4"/>
    <x v="1"/>
    <n v="73.41"/>
    <x v="203"/>
    <x v="1"/>
    <x v="0"/>
    <x v="1135"/>
    <n v="2"/>
    <x v="0"/>
    <x v="4"/>
    <n v="146.82"/>
  </r>
  <r>
    <x v="1136"/>
    <x v="463"/>
    <x v="1126"/>
    <x v="2"/>
    <x v="4"/>
    <n v="668.33"/>
    <x v="472"/>
    <x v="3"/>
    <x v="4"/>
    <x v="1136"/>
    <n v="4"/>
    <x v="3"/>
    <x v="3"/>
    <n v="2004.99"/>
  </r>
  <r>
    <x v="1137"/>
    <x v="511"/>
    <x v="1127"/>
    <x v="4"/>
    <x v="3"/>
    <n v="410.21"/>
    <x v="630"/>
    <x v="4"/>
    <x v="4"/>
    <x v="1137"/>
    <n v="5"/>
    <x v="3"/>
    <x v="0"/>
    <n v="1640.84"/>
  </r>
  <r>
    <x v="1138"/>
    <x v="552"/>
    <x v="1128"/>
    <x v="6"/>
    <x v="3"/>
    <n v="294.41000000000003"/>
    <x v="455"/>
    <x v="0"/>
    <x v="4"/>
    <x v="1138"/>
    <n v="4"/>
    <x v="2"/>
    <x v="0"/>
    <n v="1177.6400000000001"/>
  </r>
  <r>
    <x v="1139"/>
    <x v="627"/>
    <x v="1042"/>
    <x v="3"/>
    <x v="4"/>
    <n v="501.82"/>
    <x v="28"/>
    <x v="3"/>
    <x v="1"/>
    <x v="1139"/>
    <n v="4"/>
    <x v="1"/>
    <x v="2"/>
    <n v="1505.46"/>
  </r>
  <r>
    <x v="1140"/>
    <x v="658"/>
    <x v="1129"/>
    <x v="4"/>
    <x v="1"/>
    <n v="552.83000000000004"/>
    <x v="8"/>
    <x v="2"/>
    <x v="1"/>
    <x v="1140"/>
    <n v="3"/>
    <x v="2"/>
    <x v="1"/>
    <n v="1105.6600000000001"/>
  </r>
  <r>
    <x v="1141"/>
    <x v="656"/>
    <x v="1130"/>
    <x v="3"/>
    <x v="4"/>
    <n v="498.66"/>
    <x v="17"/>
    <x v="4"/>
    <x v="1"/>
    <x v="1141"/>
    <n v="6"/>
    <x v="2"/>
    <x v="2"/>
    <n v="1495.98"/>
  </r>
  <r>
    <x v="1142"/>
    <x v="1"/>
    <x v="1131"/>
    <x v="1"/>
    <x v="3"/>
    <n v="695.1"/>
    <x v="631"/>
    <x v="0"/>
    <x v="2"/>
    <x v="1142"/>
    <n v="8"/>
    <x v="2"/>
    <x v="2"/>
    <n v="2780.4"/>
  </r>
  <r>
    <x v="1143"/>
    <x v="659"/>
    <x v="1132"/>
    <x v="3"/>
    <x v="2"/>
    <n v="381.61"/>
    <x v="632"/>
    <x v="0"/>
    <x v="4"/>
    <x v="1143"/>
    <n v="5"/>
    <x v="2"/>
    <x v="2"/>
    <n v="381.61"/>
  </r>
  <r>
    <x v="1144"/>
    <x v="223"/>
    <x v="1133"/>
    <x v="6"/>
    <x v="0"/>
    <n v="507.94"/>
    <x v="633"/>
    <x v="1"/>
    <x v="1"/>
    <x v="1144"/>
    <n v="9"/>
    <x v="2"/>
    <x v="3"/>
    <n v="2539.6999999999998"/>
  </r>
  <r>
    <x v="1145"/>
    <x v="275"/>
    <x v="1134"/>
    <x v="6"/>
    <x v="4"/>
    <n v="571.53"/>
    <x v="218"/>
    <x v="0"/>
    <x v="3"/>
    <x v="1145"/>
    <n v="6"/>
    <x v="1"/>
    <x v="3"/>
    <n v="1714.59"/>
  </r>
  <r>
    <x v="1146"/>
    <x v="525"/>
    <x v="1135"/>
    <x v="0"/>
    <x v="0"/>
    <n v="421.44"/>
    <x v="351"/>
    <x v="4"/>
    <x v="4"/>
    <x v="1146"/>
    <n v="5"/>
    <x v="0"/>
    <x v="0"/>
    <n v="2107.1999999999998"/>
  </r>
  <r>
    <x v="1147"/>
    <x v="143"/>
    <x v="1136"/>
    <x v="3"/>
    <x v="1"/>
    <n v="588.29999999999995"/>
    <x v="634"/>
    <x v="1"/>
    <x v="4"/>
    <x v="1147"/>
    <n v="2"/>
    <x v="1"/>
    <x v="2"/>
    <n v="1176.5999999999999"/>
  </r>
  <r>
    <x v="1148"/>
    <x v="611"/>
    <x v="1137"/>
    <x v="1"/>
    <x v="2"/>
    <n v="355.15"/>
    <x v="635"/>
    <x v="4"/>
    <x v="2"/>
    <x v="1148"/>
    <n v="2"/>
    <x v="0"/>
    <x v="2"/>
    <n v="355.15"/>
  </r>
  <r>
    <x v="1149"/>
    <x v="568"/>
    <x v="1138"/>
    <x v="3"/>
    <x v="1"/>
    <n v="695.29"/>
    <x v="636"/>
    <x v="2"/>
    <x v="4"/>
    <x v="1149"/>
    <n v="6"/>
    <x v="1"/>
    <x v="0"/>
    <n v="1390.58"/>
  </r>
  <r>
    <x v="1150"/>
    <x v="215"/>
    <x v="1139"/>
    <x v="6"/>
    <x v="3"/>
    <n v="302.64999999999998"/>
    <x v="232"/>
    <x v="2"/>
    <x v="1"/>
    <x v="1150"/>
    <n v="8"/>
    <x v="0"/>
    <x v="1"/>
    <n v="1210.5999999999999"/>
  </r>
  <r>
    <x v="1151"/>
    <x v="22"/>
    <x v="1140"/>
    <x v="3"/>
    <x v="1"/>
    <n v="608.04"/>
    <x v="637"/>
    <x v="4"/>
    <x v="1"/>
    <x v="1151"/>
    <n v="4"/>
    <x v="2"/>
    <x v="4"/>
    <n v="1216.08"/>
  </r>
  <r>
    <x v="1152"/>
    <x v="576"/>
    <x v="1141"/>
    <x v="2"/>
    <x v="1"/>
    <n v="344.18"/>
    <x v="91"/>
    <x v="2"/>
    <x v="0"/>
    <x v="1152"/>
    <n v="7"/>
    <x v="2"/>
    <x v="1"/>
    <n v="688.36"/>
  </r>
  <r>
    <x v="1153"/>
    <x v="393"/>
    <x v="1142"/>
    <x v="0"/>
    <x v="3"/>
    <n v="696.71"/>
    <x v="638"/>
    <x v="0"/>
    <x v="0"/>
    <x v="1153"/>
    <n v="4"/>
    <x v="2"/>
    <x v="0"/>
    <n v="2786.84"/>
  </r>
  <r>
    <x v="1154"/>
    <x v="113"/>
    <x v="1143"/>
    <x v="0"/>
    <x v="4"/>
    <n v="198.63"/>
    <x v="110"/>
    <x v="4"/>
    <x v="4"/>
    <x v="1154"/>
    <n v="8"/>
    <x v="0"/>
    <x v="0"/>
    <n v="595.89"/>
  </r>
  <r>
    <x v="1155"/>
    <x v="340"/>
    <x v="1144"/>
    <x v="4"/>
    <x v="3"/>
    <n v="534.57000000000005"/>
    <x v="148"/>
    <x v="2"/>
    <x v="3"/>
    <x v="1155"/>
    <n v="6"/>
    <x v="1"/>
    <x v="3"/>
    <n v="2138.2800000000002"/>
  </r>
  <r>
    <x v="1156"/>
    <x v="45"/>
    <x v="1145"/>
    <x v="5"/>
    <x v="3"/>
    <n v="690.78"/>
    <x v="14"/>
    <x v="2"/>
    <x v="0"/>
    <x v="1156"/>
    <n v="9"/>
    <x v="2"/>
    <x v="1"/>
    <n v="2763.12"/>
  </r>
  <r>
    <x v="1157"/>
    <x v="382"/>
    <x v="1146"/>
    <x v="0"/>
    <x v="4"/>
    <n v="301.55"/>
    <x v="195"/>
    <x v="0"/>
    <x v="3"/>
    <x v="1157"/>
    <n v="5"/>
    <x v="1"/>
    <x v="4"/>
    <n v="904.65000000000009"/>
  </r>
  <r>
    <x v="1158"/>
    <x v="197"/>
    <x v="1147"/>
    <x v="0"/>
    <x v="3"/>
    <n v="27.42"/>
    <x v="345"/>
    <x v="0"/>
    <x v="4"/>
    <x v="1158"/>
    <n v="4"/>
    <x v="0"/>
    <x v="1"/>
    <n v="109.68"/>
  </r>
  <r>
    <x v="1159"/>
    <x v="203"/>
    <x v="1148"/>
    <x v="6"/>
    <x v="3"/>
    <n v="466.7"/>
    <x v="356"/>
    <x v="0"/>
    <x v="2"/>
    <x v="1159"/>
    <n v="8"/>
    <x v="2"/>
    <x v="0"/>
    <n v="1866.8"/>
  </r>
  <r>
    <x v="1160"/>
    <x v="333"/>
    <x v="1149"/>
    <x v="6"/>
    <x v="2"/>
    <n v="541.64"/>
    <x v="367"/>
    <x v="0"/>
    <x v="0"/>
    <x v="1160"/>
    <n v="5"/>
    <x v="0"/>
    <x v="2"/>
    <n v="541.64"/>
  </r>
  <r>
    <x v="1161"/>
    <x v="504"/>
    <x v="1150"/>
    <x v="1"/>
    <x v="2"/>
    <n v="11.39"/>
    <x v="283"/>
    <x v="4"/>
    <x v="1"/>
    <x v="1161"/>
    <n v="6"/>
    <x v="3"/>
    <x v="2"/>
    <n v="11.39"/>
  </r>
  <r>
    <x v="1162"/>
    <x v="660"/>
    <x v="1151"/>
    <x v="1"/>
    <x v="1"/>
    <n v="224.37"/>
    <x v="639"/>
    <x v="0"/>
    <x v="3"/>
    <x v="1162"/>
    <n v="3"/>
    <x v="3"/>
    <x v="1"/>
    <n v="448.74"/>
  </r>
  <r>
    <x v="1163"/>
    <x v="184"/>
    <x v="1152"/>
    <x v="5"/>
    <x v="4"/>
    <n v="306.29000000000002"/>
    <x v="640"/>
    <x v="2"/>
    <x v="2"/>
    <x v="1163"/>
    <n v="7"/>
    <x v="3"/>
    <x v="0"/>
    <n v="918.87000000000012"/>
  </r>
  <r>
    <x v="1164"/>
    <x v="649"/>
    <x v="1153"/>
    <x v="2"/>
    <x v="0"/>
    <n v="315.57"/>
    <x v="416"/>
    <x v="0"/>
    <x v="3"/>
    <x v="1164"/>
    <n v="6"/>
    <x v="3"/>
    <x v="2"/>
    <n v="1577.85"/>
  </r>
  <r>
    <x v="1165"/>
    <x v="328"/>
    <x v="1154"/>
    <x v="3"/>
    <x v="4"/>
    <n v="223.79"/>
    <x v="641"/>
    <x v="0"/>
    <x v="4"/>
    <x v="1165"/>
    <n v="3"/>
    <x v="2"/>
    <x v="4"/>
    <n v="671.37"/>
  </r>
  <r>
    <x v="1166"/>
    <x v="48"/>
    <x v="1155"/>
    <x v="3"/>
    <x v="4"/>
    <n v="324.47000000000003"/>
    <x v="76"/>
    <x v="4"/>
    <x v="3"/>
    <x v="1166"/>
    <n v="4"/>
    <x v="3"/>
    <x v="2"/>
    <n v="973.41000000000008"/>
  </r>
  <r>
    <x v="1167"/>
    <x v="661"/>
    <x v="1156"/>
    <x v="4"/>
    <x v="1"/>
    <n v="92.87"/>
    <x v="235"/>
    <x v="2"/>
    <x v="4"/>
    <x v="1167"/>
    <n v="5"/>
    <x v="1"/>
    <x v="3"/>
    <n v="185.74"/>
  </r>
  <r>
    <x v="1168"/>
    <x v="505"/>
    <x v="1157"/>
    <x v="5"/>
    <x v="1"/>
    <n v="331.42"/>
    <x v="642"/>
    <x v="2"/>
    <x v="3"/>
    <x v="1168"/>
    <n v="6"/>
    <x v="3"/>
    <x v="4"/>
    <n v="662.84"/>
  </r>
  <r>
    <x v="1169"/>
    <x v="662"/>
    <x v="1158"/>
    <x v="3"/>
    <x v="2"/>
    <n v="525.42999999999995"/>
    <x v="643"/>
    <x v="4"/>
    <x v="1"/>
    <x v="1169"/>
    <n v="2"/>
    <x v="0"/>
    <x v="0"/>
    <n v="525.42999999999995"/>
  </r>
  <r>
    <x v="1170"/>
    <x v="567"/>
    <x v="1159"/>
    <x v="4"/>
    <x v="1"/>
    <n v="697.19"/>
    <x v="197"/>
    <x v="4"/>
    <x v="2"/>
    <x v="1170"/>
    <n v="7"/>
    <x v="1"/>
    <x v="2"/>
    <n v="1394.38"/>
  </r>
  <r>
    <x v="1171"/>
    <x v="81"/>
    <x v="1160"/>
    <x v="1"/>
    <x v="3"/>
    <n v="518.4"/>
    <x v="644"/>
    <x v="2"/>
    <x v="3"/>
    <x v="1171"/>
    <n v="7"/>
    <x v="0"/>
    <x v="3"/>
    <n v="2073.6"/>
  </r>
  <r>
    <x v="1172"/>
    <x v="496"/>
    <x v="1161"/>
    <x v="6"/>
    <x v="4"/>
    <n v="131.96"/>
    <x v="383"/>
    <x v="2"/>
    <x v="4"/>
    <x v="1172"/>
    <n v="8"/>
    <x v="2"/>
    <x v="0"/>
    <n v="395.88"/>
  </r>
  <r>
    <x v="1173"/>
    <x v="449"/>
    <x v="1162"/>
    <x v="0"/>
    <x v="2"/>
    <n v="208.36"/>
    <x v="481"/>
    <x v="1"/>
    <x v="0"/>
    <x v="1173"/>
    <n v="4"/>
    <x v="1"/>
    <x v="2"/>
    <n v="208.36"/>
  </r>
  <r>
    <x v="1174"/>
    <x v="110"/>
    <x v="1163"/>
    <x v="4"/>
    <x v="4"/>
    <n v="222.34"/>
    <x v="645"/>
    <x v="2"/>
    <x v="2"/>
    <x v="1174"/>
    <n v="5"/>
    <x v="3"/>
    <x v="2"/>
    <n v="667.02"/>
  </r>
  <r>
    <x v="1175"/>
    <x v="663"/>
    <x v="1164"/>
    <x v="4"/>
    <x v="4"/>
    <n v="91.74"/>
    <x v="256"/>
    <x v="0"/>
    <x v="2"/>
    <x v="1175"/>
    <n v="8"/>
    <x v="1"/>
    <x v="1"/>
    <n v="275.22000000000003"/>
  </r>
  <r>
    <x v="1176"/>
    <x v="340"/>
    <x v="1165"/>
    <x v="2"/>
    <x v="1"/>
    <n v="213.83"/>
    <x v="646"/>
    <x v="0"/>
    <x v="1"/>
    <x v="1176"/>
    <n v="2"/>
    <x v="3"/>
    <x v="2"/>
    <n v="427.66"/>
  </r>
  <r>
    <x v="1177"/>
    <x v="664"/>
    <x v="1166"/>
    <x v="4"/>
    <x v="2"/>
    <n v="127.55"/>
    <x v="339"/>
    <x v="4"/>
    <x v="0"/>
    <x v="1177"/>
    <n v="3"/>
    <x v="0"/>
    <x v="1"/>
    <n v="127.55"/>
  </r>
  <r>
    <x v="1178"/>
    <x v="50"/>
    <x v="1167"/>
    <x v="0"/>
    <x v="2"/>
    <n v="70.239999999999995"/>
    <x v="206"/>
    <x v="2"/>
    <x v="1"/>
    <x v="1178"/>
    <n v="4"/>
    <x v="1"/>
    <x v="4"/>
    <n v="70.239999999999995"/>
  </r>
  <r>
    <x v="1179"/>
    <x v="124"/>
    <x v="1168"/>
    <x v="5"/>
    <x v="0"/>
    <n v="518.54999999999995"/>
    <x v="299"/>
    <x v="2"/>
    <x v="1"/>
    <x v="1179"/>
    <n v="6"/>
    <x v="3"/>
    <x v="0"/>
    <n v="2592.75"/>
  </r>
  <r>
    <x v="1180"/>
    <x v="150"/>
    <x v="1169"/>
    <x v="3"/>
    <x v="3"/>
    <n v="298.36"/>
    <x v="395"/>
    <x v="0"/>
    <x v="4"/>
    <x v="1180"/>
    <n v="8"/>
    <x v="1"/>
    <x v="4"/>
    <n v="1193.44"/>
  </r>
  <r>
    <x v="1181"/>
    <x v="152"/>
    <x v="1170"/>
    <x v="6"/>
    <x v="4"/>
    <n v="158.74"/>
    <x v="284"/>
    <x v="1"/>
    <x v="4"/>
    <x v="1181"/>
    <n v="7"/>
    <x v="1"/>
    <x v="0"/>
    <n v="476.22"/>
  </r>
  <r>
    <x v="1182"/>
    <x v="554"/>
    <x v="1171"/>
    <x v="3"/>
    <x v="1"/>
    <n v="420.29"/>
    <x v="425"/>
    <x v="3"/>
    <x v="2"/>
    <x v="1182"/>
    <n v="3"/>
    <x v="0"/>
    <x v="4"/>
    <n v="840.58"/>
  </r>
  <r>
    <x v="1183"/>
    <x v="228"/>
    <x v="1172"/>
    <x v="6"/>
    <x v="2"/>
    <n v="281.52"/>
    <x v="223"/>
    <x v="3"/>
    <x v="0"/>
    <x v="1183"/>
    <n v="6"/>
    <x v="3"/>
    <x v="1"/>
    <n v="281.52"/>
  </r>
  <r>
    <x v="1184"/>
    <x v="610"/>
    <x v="1173"/>
    <x v="5"/>
    <x v="2"/>
    <n v="204.08"/>
    <x v="528"/>
    <x v="3"/>
    <x v="2"/>
    <x v="1184"/>
    <n v="4"/>
    <x v="2"/>
    <x v="4"/>
    <n v="204.08"/>
  </r>
  <r>
    <x v="1185"/>
    <x v="665"/>
    <x v="1174"/>
    <x v="3"/>
    <x v="2"/>
    <n v="343.31"/>
    <x v="647"/>
    <x v="3"/>
    <x v="2"/>
    <x v="1185"/>
    <n v="6"/>
    <x v="0"/>
    <x v="4"/>
    <n v="343.31"/>
  </r>
  <r>
    <x v="1186"/>
    <x v="134"/>
    <x v="1175"/>
    <x v="0"/>
    <x v="2"/>
    <n v="163.32"/>
    <x v="648"/>
    <x v="4"/>
    <x v="0"/>
    <x v="1186"/>
    <n v="6"/>
    <x v="3"/>
    <x v="3"/>
    <n v="163.32"/>
  </r>
  <r>
    <x v="1187"/>
    <x v="206"/>
    <x v="1176"/>
    <x v="6"/>
    <x v="1"/>
    <n v="184.6"/>
    <x v="203"/>
    <x v="3"/>
    <x v="3"/>
    <x v="1187"/>
    <n v="7"/>
    <x v="3"/>
    <x v="2"/>
    <n v="369.2"/>
  </r>
  <r>
    <x v="1188"/>
    <x v="47"/>
    <x v="1177"/>
    <x v="4"/>
    <x v="1"/>
    <n v="371.29"/>
    <x v="649"/>
    <x v="3"/>
    <x v="0"/>
    <x v="1188"/>
    <n v="5"/>
    <x v="3"/>
    <x v="3"/>
    <n v="742.58"/>
  </r>
  <r>
    <x v="1189"/>
    <x v="666"/>
    <x v="1178"/>
    <x v="2"/>
    <x v="0"/>
    <n v="389.22"/>
    <x v="650"/>
    <x v="4"/>
    <x v="1"/>
    <x v="1189"/>
    <n v="7"/>
    <x v="2"/>
    <x v="1"/>
    <n v="1946.1"/>
  </r>
  <r>
    <x v="1190"/>
    <x v="647"/>
    <x v="1179"/>
    <x v="6"/>
    <x v="4"/>
    <n v="616.39"/>
    <x v="651"/>
    <x v="2"/>
    <x v="0"/>
    <x v="1190"/>
    <n v="6"/>
    <x v="1"/>
    <x v="0"/>
    <n v="1849.17"/>
  </r>
  <r>
    <x v="1191"/>
    <x v="441"/>
    <x v="1180"/>
    <x v="6"/>
    <x v="3"/>
    <n v="376.43"/>
    <x v="431"/>
    <x v="3"/>
    <x v="4"/>
    <x v="1191"/>
    <n v="5"/>
    <x v="3"/>
    <x v="0"/>
    <n v="1505.72"/>
  </r>
  <r>
    <x v="1192"/>
    <x v="329"/>
    <x v="1181"/>
    <x v="3"/>
    <x v="4"/>
    <n v="432.85"/>
    <x v="183"/>
    <x v="1"/>
    <x v="4"/>
    <x v="1192"/>
    <n v="4"/>
    <x v="2"/>
    <x v="0"/>
    <n v="1298.55"/>
  </r>
  <r>
    <x v="1193"/>
    <x v="667"/>
    <x v="1182"/>
    <x v="2"/>
    <x v="2"/>
    <n v="687.89"/>
    <x v="71"/>
    <x v="4"/>
    <x v="2"/>
    <x v="1193"/>
    <n v="1"/>
    <x v="1"/>
    <x v="2"/>
    <n v="687.89"/>
  </r>
  <r>
    <x v="1194"/>
    <x v="614"/>
    <x v="1183"/>
    <x v="4"/>
    <x v="4"/>
    <n v="189.44"/>
    <x v="172"/>
    <x v="4"/>
    <x v="4"/>
    <x v="1194"/>
    <n v="4"/>
    <x v="1"/>
    <x v="2"/>
    <n v="568.31999999999994"/>
  </r>
  <r>
    <x v="1195"/>
    <x v="643"/>
    <x v="1184"/>
    <x v="6"/>
    <x v="2"/>
    <n v="107.04"/>
    <x v="652"/>
    <x v="2"/>
    <x v="1"/>
    <x v="1195"/>
    <n v="6"/>
    <x v="1"/>
    <x v="4"/>
    <n v="107.04"/>
  </r>
  <r>
    <x v="1196"/>
    <x v="668"/>
    <x v="1185"/>
    <x v="0"/>
    <x v="1"/>
    <n v="662.53"/>
    <x v="320"/>
    <x v="1"/>
    <x v="1"/>
    <x v="1196"/>
    <n v="5"/>
    <x v="2"/>
    <x v="3"/>
    <n v="1325.06"/>
  </r>
  <r>
    <x v="1197"/>
    <x v="669"/>
    <x v="1186"/>
    <x v="2"/>
    <x v="1"/>
    <n v="436.84"/>
    <x v="3"/>
    <x v="1"/>
    <x v="3"/>
    <x v="1197"/>
    <n v="2"/>
    <x v="1"/>
    <x v="0"/>
    <n v="873.68"/>
  </r>
  <r>
    <x v="1198"/>
    <x v="670"/>
    <x v="1187"/>
    <x v="3"/>
    <x v="3"/>
    <n v="262.52"/>
    <x v="653"/>
    <x v="0"/>
    <x v="1"/>
    <x v="1198"/>
    <n v="4"/>
    <x v="3"/>
    <x v="0"/>
    <n v="1050.08"/>
  </r>
  <r>
    <x v="1199"/>
    <x v="236"/>
    <x v="1188"/>
    <x v="2"/>
    <x v="3"/>
    <n v="560.58000000000004"/>
    <x v="654"/>
    <x v="3"/>
    <x v="2"/>
    <x v="1199"/>
    <n v="6"/>
    <x v="0"/>
    <x v="1"/>
    <n v="2242.320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n v="5"/>
    <n v="570.62"/>
    <s v="928 Main St"/>
    <s v="Debit Card"/>
    <s v="Shipped"/>
    <s v="TRK37947903"/>
    <n v="7"/>
    <s v="SAVE10"/>
    <x v="0"/>
    <n v="2853.1"/>
  </r>
  <r>
    <x v="1"/>
    <x v="1"/>
    <n v="2"/>
    <n v="151.35"/>
    <s v="823 Main St"/>
    <s v="Online"/>
    <s v="Shipped"/>
    <s v="TRK91186779"/>
    <n v="3"/>
    <s v="SAVE10"/>
    <x v="1"/>
    <n v="302.7"/>
  </r>
  <r>
    <x v="2"/>
    <x v="2"/>
    <n v="5"/>
    <n v="550.67999999999995"/>
    <s v="512 Main St"/>
    <s v="Credit Card"/>
    <s v="Cancelled"/>
    <s v="TRK42903982"/>
    <n v="8"/>
    <s v="FREESHIP"/>
    <x v="2"/>
    <n v="2753.4"/>
  </r>
  <r>
    <x v="3"/>
    <x v="3"/>
    <n v="1"/>
    <n v="273.19"/>
    <s v="275 Main St"/>
    <s v="Debit Card"/>
    <s v="Returned"/>
    <s v="TRK62788070"/>
    <n v="5"/>
    <s v="SAVE10"/>
    <x v="3"/>
    <n v="273.19"/>
  </r>
  <r>
    <x v="4"/>
    <x v="4"/>
    <n v="4"/>
    <n v="626.01"/>
    <s v="668 Main St"/>
    <s v="Online"/>
    <s v="Delivered"/>
    <s v="TRK29241424"/>
    <n v="8"/>
    <s v="SAVE10"/>
    <x v="2"/>
    <n v="2504.04"/>
  </r>
  <r>
    <x v="5"/>
    <x v="1"/>
    <n v="2"/>
    <n v="245.86"/>
    <s v="934 Main St"/>
    <s v="Credit Card"/>
    <s v="Shipped"/>
    <s v="TRK72976927"/>
    <n v="4"/>
    <s v="SAVE10"/>
    <x v="0"/>
    <n v="491.72"/>
  </r>
  <r>
    <x v="6"/>
    <x v="5"/>
    <n v="1"/>
    <n v="664.42"/>
    <s v="986 Main St"/>
    <s v="Gift Card"/>
    <s v="Returned"/>
    <s v="TRK96417362"/>
    <n v="6"/>
    <s v="SAVE10"/>
    <x v="3"/>
    <n v="664.42"/>
  </r>
  <r>
    <x v="7"/>
    <x v="0"/>
    <n v="5"/>
    <n v="149.55000000000001"/>
    <s v="706 Main St"/>
    <s v="Cash"/>
    <s v="Shipped"/>
    <s v="TRK78809193"/>
    <n v="9"/>
    <s v="FREESHIP"/>
    <x v="3"/>
    <n v="747.75"/>
  </r>
  <r>
    <x v="8"/>
    <x v="1"/>
    <n v="2"/>
    <n v="134.28"/>
    <s v="904 Main St"/>
    <s v="Gift Card"/>
    <s v="Cancelled"/>
    <s v="TRK61042692"/>
    <n v="2"/>
    <s v="NA"/>
    <x v="2"/>
    <n v="268.56"/>
  </r>
  <r>
    <x v="9"/>
    <x v="6"/>
    <n v="4"/>
    <n v="509.38"/>
    <s v="102 Main St"/>
    <s v="Credit Card"/>
    <s v="Shipped"/>
    <s v="TRK33478363"/>
    <n v="6"/>
    <s v="SAVE10"/>
    <x v="4"/>
    <n v="2037.52"/>
  </r>
  <r>
    <x v="10"/>
    <x v="2"/>
    <n v="5"/>
    <n v="625.97"/>
    <s v="333 Main St"/>
    <s v="Credit Card"/>
    <s v="Returned"/>
    <s v="TRK98859248"/>
    <n v="9"/>
    <s v="WINTER15"/>
    <x v="0"/>
    <n v="3129.85"/>
  </r>
  <r>
    <x v="11"/>
    <x v="0"/>
    <n v="3"/>
    <n v="49.14"/>
    <s v="831 Main St"/>
    <s v="Online"/>
    <s v="Returned"/>
    <s v="TRK48234646"/>
    <n v="7"/>
    <s v="SAVE10"/>
    <x v="2"/>
    <n v="147.41999999999999"/>
  </r>
  <r>
    <x v="12"/>
    <x v="0"/>
    <n v="2"/>
    <n v="180.5"/>
    <s v="179 Main St"/>
    <s v="Debit Card"/>
    <s v="Pending"/>
    <s v="TRK20419991"/>
    <n v="6"/>
    <s v="FREESHIP"/>
    <x v="1"/>
    <n v="361"/>
  </r>
  <r>
    <x v="13"/>
    <x v="5"/>
    <n v="3"/>
    <n v="201.49"/>
    <s v="903 Main St"/>
    <s v="Credit Card"/>
    <s v="Returned"/>
    <s v="TRK81913874"/>
    <n v="4"/>
    <s v="FREESHIP"/>
    <x v="3"/>
    <n v="604.47"/>
  </r>
  <r>
    <x v="14"/>
    <x v="2"/>
    <n v="2"/>
    <n v="393.33"/>
    <s v="980 Main St"/>
    <s v="Debit Card"/>
    <s v="Pending"/>
    <s v="TRK79186539"/>
    <n v="3"/>
    <s v="SAVE10"/>
    <x v="0"/>
    <n v="786.66"/>
  </r>
  <r>
    <x v="15"/>
    <x v="4"/>
    <n v="1"/>
    <n v="473.96"/>
    <s v="942 Main St"/>
    <s v="Cash"/>
    <s v="Delivered"/>
    <s v="TRK54930938"/>
    <n v="3"/>
    <s v="NA"/>
    <x v="4"/>
    <n v="473.96"/>
  </r>
  <r>
    <x v="16"/>
    <x v="4"/>
    <n v="2"/>
    <n v="533.80999999999995"/>
    <s v="914 Main St"/>
    <s v="Credit Card"/>
    <s v="Pending"/>
    <s v="TRK13194259"/>
    <n v="3"/>
    <s v="FREESHIP"/>
    <x v="2"/>
    <n v="1067.6199999999999"/>
  </r>
  <r>
    <x v="17"/>
    <x v="2"/>
    <n v="1"/>
    <n v="423.4"/>
    <s v="382 Main St"/>
    <s v="Debit Card"/>
    <s v="Shipped"/>
    <s v="TRK11972116"/>
    <n v="3"/>
    <s v="NA"/>
    <x v="1"/>
    <n v="423.4"/>
  </r>
  <r>
    <x v="18"/>
    <x v="6"/>
    <n v="1"/>
    <n v="431.44"/>
    <s v="891 Main St"/>
    <s v="Gift Card"/>
    <s v="Pending"/>
    <s v="TRK65191045"/>
    <n v="3"/>
    <s v="SAVE10"/>
    <x v="3"/>
    <n v="431.44"/>
  </r>
  <r>
    <x v="19"/>
    <x v="0"/>
    <n v="5"/>
    <n v="224"/>
    <s v="273 Main St"/>
    <s v="Cash"/>
    <s v="Returned"/>
    <s v="TRK59101365"/>
    <n v="9"/>
    <s v="SAVE10"/>
    <x v="4"/>
    <n v="1120"/>
  </r>
  <r>
    <x v="20"/>
    <x v="3"/>
    <n v="5"/>
    <n v="62.51"/>
    <s v="587 Main St"/>
    <s v="Cash"/>
    <s v="Pending"/>
    <s v="TRK16718651"/>
    <n v="9"/>
    <s v="WINTER15"/>
    <x v="0"/>
    <n v="312.55"/>
  </r>
  <r>
    <x v="21"/>
    <x v="0"/>
    <n v="4"/>
    <n v="342.95"/>
    <s v="569 Main St"/>
    <s v="Cash"/>
    <s v="Delivered"/>
    <s v="TRK52646983"/>
    <n v="6"/>
    <s v="NA"/>
    <x v="4"/>
    <n v="1371.8"/>
  </r>
  <r>
    <x v="22"/>
    <x v="0"/>
    <n v="2"/>
    <n v="49.62"/>
    <s v="633 Main St"/>
    <s v="Online"/>
    <s v="Pending"/>
    <s v="TRK75937350"/>
    <n v="2"/>
    <s v="SAVE10"/>
    <x v="4"/>
    <n v="99.24"/>
  </r>
  <r>
    <x v="23"/>
    <x v="1"/>
    <n v="4"/>
    <n v="273.25"/>
    <s v="755 Main St"/>
    <s v="Debit Card"/>
    <s v="Cancelled"/>
    <s v="TRK36168083"/>
    <n v="5"/>
    <s v="FREESHIP"/>
    <x v="1"/>
    <n v="1093"/>
  </r>
  <r>
    <x v="24"/>
    <x v="5"/>
    <n v="2"/>
    <n v="230.95"/>
    <s v="956 Main St"/>
    <s v="Online"/>
    <s v="Delivered"/>
    <s v="TRK28775057"/>
    <n v="3"/>
    <s v="WINTER15"/>
    <x v="1"/>
    <n v="461.9"/>
  </r>
  <r>
    <x v="25"/>
    <x v="0"/>
    <n v="1"/>
    <n v="399.98"/>
    <s v="709 Main St"/>
    <s v="Debit Card"/>
    <s v="Delivered"/>
    <s v="TRK69423327"/>
    <n v="3"/>
    <s v="WINTER15"/>
    <x v="2"/>
    <n v="399.98"/>
  </r>
  <r>
    <x v="26"/>
    <x v="5"/>
    <n v="5"/>
    <n v="59.55"/>
    <s v="296 Main St"/>
    <s v="Online"/>
    <s v="Delivered"/>
    <s v="TRK80276812"/>
    <n v="6"/>
    <s v="NA"/>
    <x v="1"/>
    <n v="297.75"/>
  </r>
  <r>
    <x v="27"/>
    <x v="4"/>
    <n v="1"/>
    <n v="472.74"/>
    <s v="881 Main St"/>
    <s v="Online"/>
    <s v="Shipped"/>
    <s v="TRK89117573"/>
    <n v="6"/>
    <s v="WINTER15"/>
    <x v="4"/>
    <n v="472.74"/>
  </r>
  <r>
    <x v="28"/>
    <x v="1"/>
    <n v="4"/>
    <n v="160.07"/>
    <s v="568 Main St"/>
    <s v="Online"/>
    <s v="Pending"/>
    <s v="TRK65895539"/>
    <n v="5"/>
    <s v="NA"/>
    <x v="2"/>
    <n v="640.28"/>
  </r>
  <r>
    <x v="29"/>
    <x v="6"/>
    <n v="3"/>
    <n v="423.53"/>
    <s v="930 Main St"/>
    <s v="Credit Card"/>
    <s v="Delivered"/>
    <s v="TRK59744090"/>
    <n v="6"/>
    <s v="SAVE10"/>
    <x v="1"/>
    <n v="1270.5899999999999"/>
  </r>
  <r>
    <x v="30"/>
    <x v="0"/>
    <n v="2"/>
    <n v="426.7"/>
    <s v="895 Main St"/>
    <s v="Online"/>
    <s v="Pending"/>
    <s v="TRK54751444"/>
    <n v="5"/>
    <s v="SAVE10"/>
    <x v="1"/>
    <n v="853.4"/>
  </r>
  <r>
    <x v="31"/>
    <x v="3"/>
    <n v="3"/>
    <n v="500.08"/>
    <s v="996 Main St"/>
    <s v="Debit Card"/>
    <s v="Returned"/>
    <s v="TRK31229981"/>
    <n v="6"/>
    <s v="NA"/>
    <x v="3"/>
    <n v="1500.24"/>
  </r>
  <r>
    <x v="32"/>
    <x v="2"/>
    <n v="5"/>
    <n v="536.72"/>
    <s v="830 Main St"/>
    <s v="Cash"/>
    <s v="Delivered"/>
    <s v="TRK99261395"/>
    <n v="10"/>
    <s v="NA"/>
    <x v="2"/>
    <n v="2683.6"/>
  </r>
  <r>
    <x v="33"/>
    <x v="3"/>
    <n v="1"/>
    <n v="162.77000000000001"/>
    <s v="912 Main St"/>
    <s v="Online"/>
    <s v="Cancelled"/>
    <s v="TRK73312471"/>
    <n v="4"/>
    <s v="WINTER15"/>
    <x v="3"/>
    <n v="162.77000000000001"/>
  </r>
  <r>
    <x v="34"/>
    <x v="3"/>
    <n v="4"/>
    <n v="576.52"/>
    <s v="926 Main St"/>
    <s v="Credit Card"/>
    <s v="Pending"/>
    <s v="TRK55467915"/>
    <n v="5"/>
    <s v="WINTER15"/>
    <x v="3"/>
    <n v="2306.08"/>
  </r>
  <r>
    <x v="35"/>
    <x v="0"/>
    <n v="2"/>
    <n v="465.15"/>
    <s v="128 Main St"/>
    <s v="Online"/>
    <s v="Shipped"/>
    <s v="TRK46850888"/>
    <n v="2"/>
    <s v="SAVE10"/>
    <x v="3"/>
    <n v="930.3"/>
  </r>
  <r>
    <x v="36"/>
    <x v="5"/>
    <n v="2"/>
    <n v="534.42999999999995"/>
    <s v="465 Main St"/>
    <s v="Debit Card"/>
    <s v="Pending"/>
    <s v="TRK50961250"/>
    <n v="5"/>
    <s v="NA"/>
    <x v="3"/>
    <n v="1068.8599999999999"/>
  </r>
  <r>
    <x v="37"/>
    <x v="5"/>
    <n v="2"/>
    <n v="76.739999999999995"/>
    <s v="409 Main St"/>
    <s v="Cash"/>
    <s v="Returned"/>
    <s v="TRK94005261"/>
    <n v="7"/>
    <s v="SAVE10"/>
    <x v="0"/>
    <n v="153.47999999999999"/>
  </r>
  <r>
    <x v="38"/>
    <x v="5"/>
    <n v="1"/>
    <n v="245.89"/>
    <s v="549 Main St"/>
    <s v="Debit Card"/>
    <s v="Delivered"/>
    <s v="TRK14835975"/>
    <n v="3"/>
    <s v="SAVE10"/>
    <x v="4"/>
    <n v="245.89"/>
  </r>
  <r>
    <x v="39"/>
    <x v="4"/>
    <n v="3"/>
    <n v="256.45999999999998"/>
    <s v="666 Main St"/>
    <s v="Credit Card"/>
    <s v="Delivered"/>
    <s v="TRK85508960"/>
    <n v="4"/>
    <s v="SAVE10"/>
    <x v="1"/>
    <n v="769.37999999999988"/>
  </r>
  <r>
    <x v="40"/>
    <x v="6"/>
    <n v="2"/>
    <n v="344.02"/>
    <s v="267 Main St"/>
    <s v="Online"/>
    <s v="Delivered"/>
    <s v="TRK78967923"/>
    <n v="4"/>
    <s v="FREESHIP"/>
    <x v="0"/>
    <n v="688.04"/>
  </r>
  <r>
    <x v="41"/>
    <x v="0"/>
    <n v="3"/>
    <n v="611.45000000000005"/>
    <s v="657 Main St"/>
    <s v="Gift Card"/>
    <s v="Pending"/>
    <s v="TRK69733327"/>
    <n v="4"/>
    <s v="FREESHIP"/>
    <x v="0"/>
    <n v="1834.35"/>
  </r>
  <r>
    <x v="42"/>
    <x v="4"/>
    <n v="2"/>
    <n v="151.66"/>
    <s v="980 Main St"/>
    <s v="Cash"/>
    <s v="Cancelled"/>
    <s v="TRK40772558"/>
    <n v="6"/>
    <s v="NA"/>
    <x v="0"/>
    <n v="303.32"/>
  </r>
  <r>
    <x v="43"/>
    <x v="3"/>
    <n v="3"/>
    <n v="499.21"/>
    <s v="871 Main St"/>
    <s v="Online"/>
    <s v="Cancelled"/>
    <s v="TRK20351666"/>
    <n v="8"/>
    <s v="NA"/>
    <x v="0"/>
    <n v="1497.63"/>
  </r>
  <r>
    <x v="44"/>
    <x v="1"/>
    <n v="2"/>
    <n v="550.17999999999995"/>
    <s v="996 Main St"/>
    <s v="Gift Card"/>
    <s v="Returned"/>
    <s v="TRK73848522"/>
    <n v="3"/>
    <s v="FREESHIP"/>
    <x v="1"/>
    <n v="1100.3599999999999"/>
  </r>
  <r>
    <x v="45"/>
    <x v="3"/>
    <n v="1"/>
    <n v="317.25"/>
    <s v="157 Main St"/>
    <s v="Debit Card"/>
    <s v="Returned"/>
    <s v="TRK47077395"/>
    <n v="1"/>
    <s v="SAVE10"/>
    <x v="3"/>
    <n v="317.25"/>
  </r>
  <r>
    <x v="46"/>
    <x v="0"/>
    <n v="4"/>
    <n v="550.14"/>
    <s v="223 Main St"/>
    <s v="Debit Card"/>
    <s v="Pending"/>
    <s v="TRK25100762"/>
    <n v="4"/>
    <s v="FREESHIP"/>
    <x v="0"/>
    <n v="2200.56"/>
  </r>
  <r>
    <x v="47"/>
    <x v="6"/>
    <n v="2"/>
    <n v="209.94"/>
    <s v="323 Main St"/>
    <s v="Credit Card"/>
    <s v="Returned"/>
    <s v="TRK42450754"/>
    <n v="3"/>
    <s v="FREESHIP"/>
    <x v="2"/>
    <n v="419.88"/>
  </r>
  <r>
    <x v="48"/>
    <x v="0"/>
    <n v="2"/>
    <n v="80.77"/>
    <s v="464 Main St"/>
    <s v="Debit Card"/>
    <s v="Shipped"/>
    <s v="TRK38938858"/>
    <n v="4"/>
    <s v="NA"/>
    <x v="4"/>
    <n v="161.54"/>
  </r>
  <r>
    <x v="49"/>
    <x v="4"/>
    <n v="1"/>
    <n v="30.44"/>
    <s v="633 Main St"/>
    <s v="Credit Card"/>
    <s v="Shipped"/>
    <s v="TRK53272402"/>
    <n v="1"/>
    <s v="SAVE10"/>
    <x v="2"/>
    <n v="30.44"/>
  </r>
  <r>
    <x v="50"/>
    <x v="2"/>
    <n v="1"/>
    <n v="179.22"/>
    <s v="446 Main St"/>
    <s v="Online"/>
    <s v="Cancelled"/>
    <s v="TRK14675049"/>
    <n v="6"/>
    <s v="FREESHIP"/>
    <x v="0"/>
    <n v="179.22"/>
  </r>
  <r>
    <x v="51"/>
    <x v="2"/>
    <n v="1"/>
    <n v="388.33"/>
    <s v="434 Main St"/>
    <s v="Cash"/>
    <s v="Returned"/>
    <s v="TRK67610289"/>
    <n v="2"/>
    <s v="SAVE10"/>
    <x v="3"/>
    <n v="388.33"/>
  </r>
  <r>
    <x v="52"/>
    <x v="2"/>
    <n v="1"/>
    <n v="586.44000000000005"/>
    <s v="232 Main St"/>
    <s v="Online"/>
    <s v="Returned"/>
    <s v="TRK64320429"/>
    <n v="5"/>
    <s v="SAVE10"/>
    <x v="3"/>
    <n v="586.44000000000005"/>
  </r>
  <r>
    <x v="53"/>
    <x v="1"/>
    <n v="4"/>
    <n v="488.78"/>
    <s v="512 Main St"/>
    <s v="Online"/>
    <s v="Returned"/>
    <s v="TRK94992552"/>
    <n v="5"/>
    <s v="FREESHIP"/>
    <x v="4"/>
    <n v="1955.12"/>
  </r>
  <r>
    <x v="54"/>
    <x v="3"/>
    <n v="1"/>
    <n v="280.25"/>
    <s v="623 Main St"/>
    <s v="Online"/>
    <s v="Pending"/>
    <s v="TRK11014449"/>
    <n v="5"/>
    <s v="WINTER15"/>
    <x v="2"/>
    <n v="280.25"/>
  </r>
  <r>
    <x v="55"/>
    <x v="4"/>
    <n v="3"/>
    <n v="344.4"/>
    <s v="565 Main St"/>
    <s v="Online"/>
    <s v="Cancelled"/>
    <s v="TRK67434829"/>
    <n v="3"/>
    <s v="NA"/>
    <x v="3"/>
    <n v="1033.2"/>
  </r>
  <r>
    <x v="56"/>
    <x v="2"/>
    <n v="3"/>
    <n v="479.21"/>
    <s v="566 Main St"/>
    <s v="Cash"/>
    <s v="Cancelled"/>
    <s v="TRK62902341"/>
    <n v="5"/>
    <s v="WINTER15"/>
    <x v="1"/>
    <n v="1437.63"/>
  </r>
  <r>
    <x v="57"/>
    <x v="4"/>
    <n v="5"/>
    <n v="314.27"/>
    <s v="842 Main St"/>
    <s v="Cash"/>
    <s v="Returned"/>
    <s v="TRK52470128"/>
    <n v="6"/>
    <s v="SAVE10"/>
    <x v="0"/>
    <n v="1571.35"/>
  </r>
  <r>
    <x v="58"/>
    <x v="1"/>
    <n v="4"/>
    <n v="474.69"/>
    <s v="202 Main St"/>
    <s v="Gift Card"/>
    <s v="Cancelled"/>
    <s v="TRK70857868"/>
    <n v="6"/>
    <s v="SAVE10"/>
    <x v="4"/>
    <n v="1898.76"/>
  </r>
  <r>
    <x v="59"/>
    <x v="3"/>
    <n v="4"/>
    <n v="593.27"/>
    <s v="811 Main St"/>
    <s v="Online"/>
    <s v="Shipped"/>
    <s v="TRK47055028"/>
    <n v="5"/>
    <s v="NA"/>
    <x v="3"/>
    <n v="2373.08"/>
  </r>
  <r>
    <x v="60"/>
    <x v="6"/>
    <n v="1"/>
    <n v="417.1"/>
    <s v="634 Main St"/>
    <s v="Debit Card"/>
    <s v="Returned"/>
    <s v="TRK23412025"/>
    <n v="3"/>
    <s v="FREESHIP"/>
    <x v="1"/>
    <n v="417.1"/>
  </r>
  <r>
    <x v="61"/>
    <x v="6"/>
    <n v="4"/>
    <n v="122.2"/>
    <s v="104 Main St"/>
    <s v="Cash"/>
    <s v="Delivered"/>
    <s v="TRK43458485"/>
    <n v="7"/>
    <s v="FREESHIP"/>
    <x v="3"/>
    <n v="488.8"/>
  </r>
  <r>
    <x v="62"/>
    <x v="6"/>
    <n v="2"/>
    <n v="43.15"/>
    <s v="691 Main St"/>
    <s v="Debit Card"/>
    <s v="Pending"/>
    <s v="TRK12102911"/>
    <n v="3"/>
    <s v="WINTER15"/>
    <x v="2"/>
    <n v="86.3"/>
  </r>
  <r>
    <x v="63"/>
    <x v="3"/>
    <n v="1"/>
    <n v="564.86"/>
    <s v="813 Main St"/>
    <s v="Debit Card"/>
    <s v="Shipped"/>
    <s v="TRK64283851"/>
    <n v="6"/>
    <s v="WINTER15"/>
    <x v="1"/>
    <n v="564.86"/>
  </r>
  <r>
    <x v="64"/>
    <x v="4"/>
    <n v="3"/>
    <n v="130.61000000000001"/>
    <s v="752 Main St"/>
    <s v="Debit Card"/>
    <s v="Cancelled"/>
    <s v="TRK55785217"/>
    <n v="4"/>
    <s v="FREESHIP"/>
    <x v="3"/>
    <n v="391.83"/>
  </r>
  <r>
    <x v="65"/>
    <x v="0"/>
    <n v="5"/>
    <n v="81.7"/>
    <s v="385 Main St"/>
    <s v="Credit Card"/>
    <s v="Delivered"/>
    <s v="TRK13743703"/>
    <n v="6"/>
    <s v="NA"/>
    <x v="0"/>
    <n v="408.5"/>
  </r>
  <r>
    <x v="66"/>
    <x v="3"/>
    <n v="5"/>
    <n v="127.18"/>
    <s v="715 Main St"/>
    <s v="Cash"/>
    <s v="Cancelled"/>
    <s v="TRK15488568"/>
    <n v="9"/>
    <s v="SAVE10"/>
    <x v="1"/>
    <n v="635.90000000000009"/>
  </r>
  <r>
    <x v="67"/>
    <x v="4"/>
    <n v="4"/>
    <n v="12.1"/>
    <s v="440 Main St"/>
    <s v="Debit Card"/>
    <s v="Cancelled"/>
    <s v="TRK55105323"/>
    <n v="8"/>
    <s v="NA"/>
    <x v="4"/>
    <n v="48.4"/>
  </r>
  <r>
    <x v="68"/>
    <x v="3"/>
    <n v="3"/>
    <n v="490.92"/>
    <s v="709 Main St"/>
    <s v="Credit Card"/>
    <s v="Pending"/>
    <s v="TRK81665940"/>
    <n v="5"/>
    <s v="FREESHIP"/>
    <x v="2"/>
    <n v="1472.76"/>
  </r>
  <r>
    <x v="69"/>
    <x v="0"/>
    <n v="3"/>
    <n v="478.65"/>
    <s v="552 Main St"/>
    <s v="Online"/>
    <s v="Shipped"/>
    <s v="TRK35241775"/>
    <n v="4"/>
    <s v="NA"/>
    <x v="1"/>
    <n v="1435.95"/>
  </r>
  <r>
    <x v="70"/>
    <x v="6"/>
    <n v="1"/>
    <n v="629.21"/>
    <s v="384 Main St"/>
    <s v="Gift Card"/>
    <s v="Pending"/>
    <s v="TRK27812282"/>
    <n v="2"/>
    <s v="FREESHIP"/>
    <x v="0"/>
    <n v="629.21"/>
  </r>
  <r>
    <x v="71"/>
    <x v="0"/>
    <n v="3"/>
    <n v="434.45"/>
    <s v="923 Main St"/>
    <s v="Credit Card"/>
    <s v="Pending"/>
    <s v="TRK28252730"/>
    <n v="4"/>
    <s v="NA"/>
    <x v="1"/>
    <n v="1303.3499999999999"/>
  </r>
  <r>
    <x v="72"/>
    <x v="2"/>
    <n v="4"/>
    <n v="589.44000000000005"/>
    <s v="942 Main St"/>
    <s v="Gift Card"/>
    <s v="Returned"/>
    <s v="TRK87787793"/>
    <n v="5"/>
    <s v="NA"/>
    <x v="3"/>
    <n v="2357.7600000000002"/>
  </r>
  <r>
    <x v="73"/>
    <x v="0"/>
    <n v="4"/>
    <n v="433.45"/>
    <s v="129 Main St"/>
    <s v="Gift Card"/>
    <s v="Cancelled"/>
    <s v="TRK79608389"/>
    <n v="4"/>
    <s v="NA"/>
    <x v="3"/>
    <n v="1733.8"/>
  </r>
  <r>
    <x v="74"/>
    <x v="1"/>
    <n v="5"/>
    <n v="90.87"/>
    <s v="622 Main St"/>
    <s v="Cash"/>
    <s v="Pending"/>
    <s v="TRK64691287"/>
    <n v="5"/>
    <s v="NA"/>
    <x v="0"/>
    <n v="454.35"/>
  </r>
  <r>
    <x v="75"/>
    <x v="2"/>
    <n v="3"/>
    <n v="398.17"/>
    <s v="917 Main St"/>
    <s v="Debit Card"/>
    <s v="Delivered"/>
    <s v="TRK14846720"/>
    <n v="5"/>
    <s v="SAVE10"/>
    <x v="2"/>
    <n v="1194.51"/>
  </r>
  <r>
    <x v="76"/>
    <x v="5"/>
    <n v="4"/>
    <n v="382.88"/>
    <s v="239 Main St"/>
    <s v="Cash"/>
    <s v="Cancelled"/>
    <s v="TRK38224871"/>
    <n v="6"/>
    <s v="WINTER15"/>
    <x v="2"/>
    <n v="1531.52"/>
  </r>
  <r>
    <x v="77"/>
    <x v="1"/>
    <n v="1"/>
    <n v="583.17999999999995"/>
    <s v="348 Main St"/>
    <s v="Credit Card"/>
    <s v="Returned"/>
    <s v="TRK79810059"/>
    <n v="5"/>
    <s v="NA"/>
    <x v="4"/>
    <n v="583.17999999999995"/>
  </r>
  <r>
    <x v="78"/>
    <x v="4"/>
    <n v="4"/>
    <n v="175.36"/>
    <s v="146 Main St"/>
    <s v="Debit Card"/>
    <s v="Delivered"/>
    <s v="TRK68535532"/>
    <n v="4"/>
    <s v="FREESHIP"/>
    <x v="0"/>
    <n v="701.44"/>
  </r>
  <r>
    <x v="79"/>
    <x v="2"/>
    <n v="2"/>
    <n v="311.91000000000003"/>
    <s v="103 Main St"/>
    <s v="Online"/>
    <s v="Shipped"/>
    <s v="TRK13036341"/>
    <n v="2"/>
    <s v="NA"/>
    <x v="3"/>
    <n v="623.82000000000005"/>
  </r>
  <r>
    <x v="80"/>
    <x v="1"/>
    <n v="3"/>
    <n v="589.55999999999995"/>
    <s v="591 Main St"/>
    <s v="Online"/>
    <s v="Returned"/>
    <s v="TRK28840655"/>
    <n v="6"/>
    <s v="NA"/>
    <x v="3"/>
    <n v="1768.68"/>
  </r>
  <r>
    <x v="81"/>
    <x v="0"/>
    <n v="2"/>
    <n v="394.3"/>
    <s v="496 Main St"/>
    <s v="Cash"/>
    <s v="Shipped"/>
    <s v="TRK59876213"/>
    <n v="6"/>
    <s v="FREESHIP"/>
    <x v="2"/>
    <n v="788.6"/>
  </r>
  <r>
    <x v="82"/>
    <x v="2"/>
    <n v="4"/>
    <n v="565.20000000000005"/>
    <s v="971 Main St"/>
    <s v="Debit Card"/>
    <s v="Shipped"/>
    <s v="TRK66906607"/>
    <n v="9"/>
    <s v="SAVE10"/>
    <x v="4"/>
    <n v="2260.8000000000002"/>
  </r>
  <r>
    <x v="83"/>
    <x v="5"/>
    <n v="4"/>
    <n v="540.41"/>
    <s v="989 Main St"/>
    <s v="Credit Card"/>
    <s v="Cancelled"/>
    <s v="TRK75112172"/>
    <n v="6"/>
    <s v="NA"/>
    <x v="1"/>
    <n v="2161.64"/>
  </r>
  <r>
    <x v="84"/>
    <x v="0"/>
    <n v="2"/>
    <n v="165.49"/>
    <s v="967 Main St"/>
    <s v="Online"/>
    <s v="Shipped"/>
    <s v="TRK34121529"/>
    <n v="4"/>
    <s v="WINTER15"/>
    <x v="0"/>
    <n v="330.98"/>
  </r>
  <r>
    <x v="85"/>
    <x v="2"/>
    <n v="3"/>
    <n v="146.72999999999999"/>
    <s v="768 Main St"/>
    <s v="Cash"/>
    <s v="Delivered"/>
    <s v="TRK93538334"/>
    <n v="8"/>
    <s v="FREESHIP"/>
    <x v="2"/>
    <n v="440.18999999999988"/>
  </r>
  <r>
    <x v="86"/>
    <x v="4"/>
    <n v="5"/>
    <n v="643.03"/>
    <s v="447 Main St"/>
    <s v="Online"/>
    <s v="Cancelled"/>
    <s v="TRK93504166"/>
    <n v="5"/>
    <s v="FREESHIP"/>
    <x v="1"/>
    <n v="3215.15"/>
  </r>
  <r>
    <x v="87"/>
    <x v="2"/>
    <n v="3"/>
    <n v="225.11"/>
    <s v="915 Main St"/>
    <s v="Cash"/>
    <s v="Shipped"/>
    <s v="TRK46976391"/>
    <n v="4"/>
    <s v="SAVE10"/>
    <x v="3"/>
    <n v="675.33"/>
  </r>
  <r>
    <x v="88"/>
    <x v="6"/>
    <n v="3"/>
    <n v="114.81"/>
    <s v="318 Main St"/>
    <s v="Gift Card"/>
    <s v="Cancelled"/>
    <s v="TRK19831653"/>
    <n v="7"/>
    <s v="NA"/>
    <x v="4"/>
    <n v="344.43"/>
  </r>
  <r>
    <x v="89"/>
    <x v="4"/>
    <n v="5"/>
    <n v="455.33"/>
    <s v="291 Main St"/>
    <s v="Credit Card"/>
    <s v="Cancelled"/>
    <s v="TRK78912978"/>
    <n v="8"/>
    <s v="FREESHIP"/>
    <x v="4"/>
    <n v="2276.65"/>
  </r>
  <r>
    <x v="90"/>
    <x v="3"/>
    <n v="4"/>
    <n v="182.08"/>
    <s v="611 Main St"/>
    <s v="Gift Card"/>
    <s v="Delivered"/>
    <s v="TRK35828122"/>
    <n v="4"/>
    <s v="SAVE10"/>
    <x v="2"/>
    <n v="728.32"/>
  </r>
  <r>
    <x v="91"/>
    <x v="5"/>
    <n v="5"/>
    <n v="492.75"/>
    <s v="196 Main St"/>
    <s v="Cash"/>
    <s v="Shipped"/>
    <s v="TRK40986666"/>
    <n v="6"/>
    <s v="WINTER15"/>
    <x v="1"/>
    <n v="2463.75"/>
  </r>
  <r>
    <x v="92"/>
    <x v="4"/>
    <n v="4"/>
    <n v="48.61"/>
    <s v="203 Main St"/>
    <s v="Online"/>
    <s v="Shipped"/>
    <s v="TRK46531075"/>
    <n v="7"/>
    <s v="FREESHIP"/>
    <x v="3"/>
    <n v="194.44"/>
  </r>
  <r>
    <x v="93"/>
    <x v="6"/>
    <n v="4"/>
    <n v="431.01"/>
    <s v="837 Main St"/>
    <s v="Credit Card"/>
    <s v="Returned"/>
    <s v="TRK65990229"/>
    <n v="7"/>
    <s v="NA"/>
    <x v="1"/>
    <n v="1724.04"/>
  </r>
  <r>
    <x v="94"/>
    <x v="3"/>
    <n v="1"/>
    <n v="531.17999999999995"/>
    <s v="781 Main St"/>
    <s v="Gift Card"/>
    <s v="Returned"/>
    <s v="TRK12780193"/>
    <n v="6"/>
    <s v="WINTER15"/>
    <x v="0"/>
    <n v="531.17999999999995"/>
  </r>
  <r>
    <x v="95"/>
    <x v="4"/>
    <n v="4"/>
    <n v="117.51"/>
    <s v="839 Main St"/>
    <s v="Debit Card"/>
    <s v="Returned"/>
    <s v="TRK60179774"/>
    <n v="7"/>
    <s v="NA"/>
    <x v="1"/>
    <n v="470.04"/>
  </r>
  <r>
    <x v="96"/>
    <x v="1"/>
    <n v="2"/>
    <n v="232.83"/>
    <s v="103 Main St"/>
    <s v="Gift Card"/>
    <s v="Delivered"/>
    <s v="TRK85696091"/>
    <n v="7"/>
    <s v="NA"/>
    <x v="0"/>
    <n v="465.66"/>
  </r>
  <r>
    <x v="97"/>
    <x v="2"/>
    <n v="5"/>
    <n v="619.52"/>
    <s v="922 Main St"/>
    <s v="Debit Card"/>
    <s v="Pending"/>
    <s v="TRK40621141"/>
    <n v="9"/>
    <s v="NA"/>
    <x v="2"/>
    <n v="3097.6"/>
  </r>
  <r>
    <x v="98"/>
    <x v="4"/>
    <n v="2"/>
    <n v="228.54"/>
    <s v="533 Main St"/>
    <s v="Debit Card"/>
    <s v="Pending"/>
    <s v="TRK54983109"/>
    <n v="3"/>
    <s v="NA"/>
    <x v="2"/>
    <n v="457.08"/>
  </r>
  <r>
    <x v="99"/>
    <x v="4"/>
    <n v="1"/>
    <n v="201.58"/>
    <s v="717 Main St"/>
    <s v="Debit Card"/>
    <s v="Cancelled"/>
    <s v="TRK51829648"/>
    <n v="2"/>
    <s v="WINTER15"/>
    <x v="2"/>
    <n v="201.58"/>
  </r>
  <r>
    <x v="100"/>
    <x v="1"/>
    <n v="3"/>
    <n v="664.79"/>
    <s v="743 Main St"/>
    <s v="Online"/>
    <s v="Delivered"/>
    <s v="TRK53783265"/>
    <n v="6"/>
    <s v="NA"/>
    <x v="3"/>
    <n v="1994.37"/>
  </r>
  <r>
    <x v="101"/>
    <x v="4"/>
    <n v="1"/>
    <n v="381.02"/>
    <s v="152 Main St"/>
    <s v="Cash"/>
    <s v="Shipped"/>
    <s v="TRK19286291"/>
    <n v="6"/>
    <s v="NA"/>
    <x v="4"/>
    <n v="381.02"/>
  </r>
  <r>
    <x v="102"/>
    <x v="5"/>
    <n v="2"/>
    <n v="70.34"/>
    <s v="944 Main St"/>
    <s v="Gift Card"/>
    <s v="Cancelled"/>
    <s v="TRK47362236"/>
    <n v="3"/>
    <s v="FREESHIP"/>
    <x v="2"/>
    <n v="140.68"/>
  </r>
  <r>
    <x v="103"/>
    <x v="1"/>
    <n v="4"/>
    <n v="218.43"/>
    <s v="514 Main St"/>
    <s v="Credit Card"/>
    <s v="Cancelled"/>
    <s v="TRK86296459"/>
    <n v="9"/>
    <s v="SAVE10"/>
    <x v="2"/>
    <n v="873.72"/>
  </r>
  <r>
    <x v="104"/>
    <x v="1"/>
    <n v="1"/>
    <n v="582.04"/>
    <s v="647 Main St"/>
    <s v="Gift Card"/>
    <s v="Delivered"/>
    <s v="TRK39906058"/>
    <n v="1"/>
    <s v="FREESHIP"/>
    <x v="2"/>
    <n v="582.04"/>
  </r>
  <r>
    <x v="105"/>
    <x v="4"/>
    <n v="3"/>
    <n v="185.4"/>
    <s v="810 Main St"/>
    <s v="Gift Card"/>
    <s v="Cancelled"/>
    <s v="TRK68792129"/>
    <n v="7"/>
    <s v="NA"/>
    <x v="3"/>
    <n v="556.20000000000005"/>
  </r>
  <r>
    <x v="106"/>
    <x v="6"/>
    <n v="3"/>
    <n v="465.05"/>
    <s v="126 Main St"/>
    <s v="Credit Card"/>
    <s v="Cancelled"/>
    <s v="TRK96777924"/>
    <n v="3"/>
    <s v="SAVE10"/>
    <x v="2"/>
    <n v="1395.15"/>
  </r>
  <r>
    <x v="107"/>
    <x v="4"/>
    <n v="5"/>
    <n v="670.75"/>
    <s v="848 Main St"/>
    <s v="Gift Card"/>
    <s v="Shipped"/>
    <s v="TRK34392124"/>
    <n v="8"/>
    <s v="FREESHIP"/>
    <x v="0"/>
    <n v="3353.75"/>
  </r>
  <r>
    <x v="108"/>
    <x v="5"/>
    <n v="5"/>
    <n v="48.38"/>
    <s v="522 Main St"/>
    <s v="Gift Card"/>
    <s v="Delivered"/>
    <s v="TRK28522330"/>
    <n v="9"/>
    <s v="WINTER15"/>
    <x v="2"/>
    <n v="241.9"/>
  </r>
  <r>
    <x v="109"/>
    <x v="6"/>
    <n v="3"/>
    <n v="592.87"/>
    <s v="131 Main St"/>
    <s v="Gift Card"/>
    <s v="Shipped"/>
    <s v="TRK18674578"/>
    <n v="3"/>
    <s v="FREESHIP"/>
    <x v="1"/>
    <n v="1778.61"/>
  </r>
  <r>
    <x v="110"/>
    <x v="2"/>
    <n v="1"/>
    <n v="220.77"/>
    <s v="388 Main St"/>
    <s v="Gift Card"/>
    <s v="Pending"/>
    <s v="TRK32062079"/>
    <n v="5"/>
    <s v="FREESHIP"/>
    <x v="0"/>
    <n v="220.77"/>
  </r>
  <r>
    <x v="111"/>
    <x v="6"/>
    <n v="3"/>
    <n v="309.22000000000003"/>
    <s v="620 Main St"/>
    <s v="Online"/>
    <s v="Cancelled"/>
    <s v="TRK74904969"/>
    <n v="7"/>
    <s v="FREESHIP"/>
    <x v="4"/>
    <n v="927.66000000000008"/>
  </r>
  <r>
    <x v="112"/>
    <x v="0"/>
    <n v="1"/>
    <n v="410.6"/>
    <s v="423 Main St"/>
    <s v="Online"/>
    <s v="Cancelled"/>
    <s v="TRK17062206"/>
    <n v="2"/>
    <s v="WINTER15"/>
    <x v="1"/>
    <n v="410.6"/>
  </r>
  <r>
    <x v="113"/>
    <x v="5"/>
    <n v="5"/>
    <n v="190.08"/>
    <s v="605 Main St"/>
    <s v="Cash"/>
    <s v="Shipped"/>
    <s v="TRK73954365"/>
    <n v="9"/>
    <s v="FREESHIP"/>
    <x v="0"/>
    <n v="950.40000000000009"/>
  </r>
  <r>
    <x v="114"/>
    <x v="0"/>
    <n v="5"/>
    <n v="498.48"/>
    <s v="115 Main St"/>
    <s v="Online"/>
    <s v="Pending"/>
    <s v="TRK29708128"/>
    <n v="8"/>
    <s v="SAVE10"/>
    <x v="4"/>
    <n v="2492.4"/>
  </r>
  <r>
    <x v="115"/>
    <x v="1"/>
    <n v="5"/>
    <n v="374.99"/>
    <s v="122 Main St"/>
    <s v="Online"/>
    <s v="Shipped"/>
    <s v="TRK23670394"/>
    <n v="9"/>
    <s v="SAVE10"/>
    <x v="3"/>
    <n v="1874.95"/>
  </r>
  <r>
    <x v="116"/>
    <x v="4"/>
    <n v="4"/>
    <n v="291.35000000000002"/>
    <s v="109 Main St"/>
    <s v="Credit Card"/>
    <s v="Cancelled"/>
    <s v="TRK66669207"/>
    <n v="6"/>
    <s v="WINTER15"/>
    <x v="3"/>
    <n v="1165.4000000000001"/>
  </r>
  <r>
    <x v="117"/>
    <x v="2"/>
    <n v="1"/>
    <n v="535.5"/>
    <s v="593 Main St"/>
    <s v="Gift Card"/>
    <s v="Cancelled"/>
    <s v="TRK81888598"/>
    <n v="5"/>
    <s v="WINTER15"/>
    <x v="1"/>
    <n v="535.5"/>
  </r>
  <r>
    <x v="118"/>
    <x v="4"/>
    <n v="5"/>
    <n v="502.71"/>
    <s v="807 Main St"/>
    <s v="Gift Card"/>
    <s v="Shipped"/>
    <s v="TRK61957665"/>
    <n v="7"/>
    <s v="FREESHIP"/>
    <x v="4"/>
    <n v="2513.5500000000002"/>
  </r>
  <r>
    <x v="119"/>
    <x v="6"/>
    <n v="2"/>
    <n v="534.66999999999996"/>
    <s v="187 Main St"/>
    <s v="Debit Card"/>
    <s v="Shipped"/>
    <s v="TRK47373682"/>
    <n v="7"/>
    <s v="FREESHIP"/>
    <x v="1"/>
    <n v="1069.3399999999999"/>
  </r>
  <r>
    <x v="120"/>
    <x v="2"/>
    <n v="4"/>
    <n v="629.34"/>
    <s v="986 Main St"/>
    <s v="Cash"/>
    <s v="Cancelled"/>
    <s v="TRK66218053"/>
    <n v="4"/>
    <s v="WINTER15"/>
    <x v="0"/>
    <n v="2517.36"/>
  </r>
  <r>
    <x v="121"/>
    <x v="6"/>
    <n v="1"/>
    <n v="410.78"/>
    <s v="673 Main St"/>
    <s v="Cash"/>
    <s v="Cancelled"/>
    <s v="TRK24138598"/>
    <n v="1"/>
    <s v="FREESHIP"/>
    <x v="0"/>
    <n v="410.78"/>
  </r>
  <r>
    <x v="122"/>
    <x v="5"/>
    <n v="2"/>
    <n v="533.02"/>
    <s v="588 Main St"/>
    <s v="Gift Card"/>
    <s v="Shipped"/>
    <s v="TRK30422853"/>
    <n v="2"/>
    <s v="NA"/>
    <x v="3"/>
    <n v="1066.04"/>
  </r>
  <r>
    <x v="123"/>
    <x v="6"/>
    <n v="3"/>
    <n v="278.04000000000002"/>
    <s v="727 Main St"/>
    <s v="Online"/>
    <s v="Delivered"/>
    <s v="TRK62182901"/>
    <n v="5"/>
    <s v="NA"/>
    <x v="0"/>
    <n v="834.12000000000012"/>
  </r>
  <r>
    <x v="124"/>
    <x v="4"/>
    <n v="4"/>
    <n v="283.79000000000002"/>
    <s v="563 Main St"/>
    <s v="Online"/>
    <s v="Pending"/>
    <s v="TRK85321126"/>
    <n v="8"/>
    <s v="NA"/>
    <x v="4"/>
    <n v="1135.1600000000001"/>
  </r>
  <r>
    <x v="125"/>
    <x v="1"/>
    <n v="2"/>
    <n v="512.65"/>
    <s v="758 Main St"/>
    <s v="Credit Card"/>
    <s v="Shipped"/>
    <s v="TRK81846174"/>
    <n v="5"/>
    <s v="SAVE10"/>
    <x v="2"/>
    <n v="1025.3"/>
  </r>
  <r>
    <x v="126"/>
    <x v="6"/>
    <n v="4"/>
    <n v="275.5"/>
    <s v="353 Main St"/>
    <s v="Gift Card"/>
    <s v="Shipped"/>
    <s v="TRK68250319"/>
    <n v="8"/>
    <s v="FREESHIP"/>
    <x v="4"/>
    <n v="1102"/>
  </r>
  <r>
    <x v="127"/>
    <x v="6"/>
    <n v="3"/>
    <n v="469.32"/>
    <s v="365 Main St"/>
    <s v="Debit Card"/>
    <s v="Shipped"/>
    <s v="TRK73929833"/>
    <n v="3"/>
    <s v="NA"/>
    <x v="4"/>
    <n v="1407.96"/>
  </r>
  <r>
    <x v="128"/>
    <x v="2"/>
    <n v="4"/>
    <n v="21.07"/>
    <s v="244 Main St"/>
    <s v="Gift Card"/>
    <s v="Delivered"/>
    <s v="TRK41432648"/>
    <n v="4"/>
    <s v="FREESHIP"/>
    <x v="4"/>
    <n v="84.28"/>
  </r>
  <r>
    <x v="129"/>
    <x v="5"/>
    <n v="4"/>
    <n v="263.93"/>
    <s v="427 Main St"/>
    <s v="Debit Card"/>
    <s v="Shipped"/>
    <s v="TRK72481234"/>
    <n v="4"/>
    <s v="FREESHIP"/>
    <x v="3"/>
    <n v="1055.72"/>
  </r>
  <r>
    <x v="130"/>
    <x v="6"/>
    <n v="3"/>
    <n v="501.3"/>
    <s v="513 Main St"/>
    <s v="Online"/>
    <s v="Cancelled"/>
    <s v="TRK88360704"/>
    <n v="3"/>
    <s v="WINTER15"/>
    <x v="3"/>
    <n v="1503.9"/>
  </r>
  <r>
    <x v="131"/>
    <x v="2"/>
    <n v="1"/>
    <n v="84.8"/>
    <s v="606 Main St"/>
    <s v="Gift Card"/>
    <s v="Pending"/>
    <s v="TRK51648833"/>
    <n v="5"/>
    <s v="NA"/>
    <x v="0"/>
    <n v="84.8"/>
  </r>
  <r>
    <x v="132"/>
    <x v="2"/>
    <n v="4"/>
    <n v="450.75"/>
    <s v="583 Main St"/>
    <s v="Credit Card"/>
    <s v="Shipped"/>
    <s v="TRK13137948"/>
    <n v="6"/>
    <s v="WINTER15"/>
    <x v="2"/>
    <n v="1803"/>
  </r>
  <r>
    <x v="133"/>
    <x v="3"/>
    <n v="4"/>
    <n v="302.05"/>
    <s v="636 Main St"/>
    <s v="Debit Card"/>
    <s v="Cancelled"/>
    <s v="TRK68969625"/>
    <n v="6"/>
    <s v="SAVE10"/>
    <x v="4"/>
    <n v="1208.2"/>
  </r>
  <r>
    <x v="134"/>
    <x v="5"/>
    <n v="2"/>
    <n v="199.7"/>
    <s v="583 Main St"/>
    <s v="Cash"/>
    <s v="Pending"/>
    <s v="TRK17354894"/>
    <n v="4"/>
    <s v="NA"/>
    <x v="2"/>
    <n v="399.4"/>
  </r>
  <r>
    <x v="135"/>
    <x v="4"/>
    <n v="2"/>
    <n v="68.81"/>
    <s v="642 Main St"/>
    <s v="Gift Card"/>
    <s v="Shipped"/>
    <s v="TRK86742257"/>
    <n v="5"/>
    <s v="SAVE10"/>
    <x v="1"/>
    <n v="137.62"/>
  </r>
  <r>
    <x v="136"/>
    <x v="5"/>
    <n v="1"/>
    <n v="44.35"/>
    <s v="595 Main St"/>
    <s v="Gift Card"/>
    <s v="Cancelled"/>
    <s v="TRK67820278"/>
    <n v="1"/>
    <s v="SAVE10"/>
    <x v="0"/>
    <n v="44.35"/>
  </r>
  <r>
    <x v="137"/>
    <x v="0"/>
    <n v="2"/>
    <n v="250.98"/>
    <s v="598 Main St"/>
    <s v="Credit Card"/>
    <s v="Delivered"/>
    <s v="TRK12242337"/>
    <n v="5"/>
    <s v="NA"/>
    <x v="4"/>
    <n v="501.96"/>
  </r>
  <r>
    <x v="138"/>
    <x v="2"/>
    <n v="1"/>
    <n v="298.06"/>
    <s v="478 Main St"/>
    <s v="Debit Card"/>
    <s v="Pending"/>
    <s v="TRK31863841"/>
    <n v="3"/>
    <s v="WINTER15"/>
    <x v="4"/>
    <n v="298.06"/>
  </r>
  <r>
    <x v="139"/>
    <x v="1"/>
    <n v="1"/>
    <n v="583.9"/>
    <s v="714 Main St"/>
    <s v="Cash"/>
    <s v="Returned"/>
    <s v="TRK33114521"/>
    <n v="1"/>
    <s v="NA"/>
    <x v="2"/>
    <n v="583.9"/>
  </r>
  <r>
    <x v="140"/>
    <x v="3"/>
    <n v="3"/>
    <n v="528.14"/>
    <s v="388 Main St"/>
    <s v="Online"/>
    <s v="Delivered"/>
    <s v="TRK38624225"/>
    <n v="3"/>
    <s v="FREESHIP"/>
    <x v="2"/>
    <n v="1584.42"/>
  </r>
  <r>
    <x v="141"/>
    <x v="4"/>
    <n v="3"/>
    <n v="684.14"/>
    <s v="151 Main St"/>
    <s v="Cash"/>
    <s v="Cancelled"/>
    <s v="TRK66230753"/>
    <n v="3"/>
    <s v="WINTER15"/>
    <x v="0"/>
    <n v="2052.42"/>
  </r>
  <r>
    <x v="142"/>
    <x v="6"/>
    <n v="5"/>
    <n v="272.77"/>
    <s v="573 Main St"/>
    <s v="Cash"/>
    <s v="Pending"/>
    <s v="TRK79451491"/>
    <n v="7"/>
    <s v="WINTER15"/>
    <x v="2"/>
    <n v="1363.85"/>
  </r>
  <r>
    <x v="143"/>
    <x v="3"/>
    <n v="4"/>
    <n v="400.07"/>
    <s v="933 Main St"/>
    <s v="Online"/>
    <s v="Shipped"/>
    <s v="TRK34654244"/>
    <n v="5"/>
    <s v="NA"/>
    <x v="1"/>
    <n v="1600.28"/>
  </r>
  <r>
    <x v="144"/>
    <x v="6"/>
    <n v="5"/>
    <n v="219.78"/>
    <s v="895 Main St"/>
    <s v="Credit Card"/>
    <s v="Pending"/>
    <s v="TRK80100887"/>
    <n v="8"/>
    <s v="NA"/>
    <x v="3"/>
    <n v="1098.9000000000001"/>
  </r>
  <r>
    <x v="145"/>
    <x v="4"/>
    <n v="3"/>
    <n v="146.91"/>
    <s v="798 Main St"/>
    <s v="Credit Card"/>
    <s v="Delivered"/>
    <s v="TRK29318610"/>
    <n v="6"/>
    <s v="FREESHIP"/>
    <x v="4"/>
    <n v="440.73"/>
  </r>
  <r>
    <x v="146"/>
    <x v="2"/>
    <n v="2"/>
    <n v="411.49"/>
    <s v="404 Main St"/>
    <s v="Credit Card"/>
    <s v="Returned"/>
    <s v="TRK68893369"/>
    <n v="4"/>
    <s v="NA"/>
    <x v="0"/>
    <n v="822.98"/>
  </r>
  <r>
    <x v="147"/>
    <x v="5"/>
    <n v="2"/>
    <n v="465.18"/>
    <s v="893 Main St"/>
    <s v="Credit Card"/>
    <s v="Cancelled"/>
    <s v="TRK16196000"/>
    <n v="2"/>
    <s v="SAVE10"/>
    <x v="4"/>
    <n v="930.36"/>
  </r>
  <r>
    <x v="148"/>
    <x v="1"/>
    <n v="2"/>
    <n v="319.91000000000003"/>
    <s v="139 Main St"/>
    <s v="Credit Card"/>
    <s v="Cancelled"/>
    <s v="TRK56853491"/>
    <n v="3"/>
    <s v="WINTER15"/>
    <x v="4"/>
    <n v="639.82000000000005"/>
  </r>
  <r>
    <x v="149"/>
    <x v="5"/>
    <n v="1"/>
    <n v="217.56"/>
    <s v="174 Main St"/>
    <s v="Debit Card"/>
    <s v="Delivered"/>
    <s v="TRK47153818"/>
    <n v="3"/>
    <s v="NA"/>
    <x v="3"/>
    <n v="217.56"/>
  </r>
  <r>
    <x v="150"/>
    <x v="1"/>
    <n v="2"/>
    <n v="105.57"/>
    <s v="981 Main St"/>
    <s v="Debit Card"/>
    <s v="Returned"/>
    <s v="TRK29878837"/>
    <n v="5"/>
    <s v="WINTER15"/>
    <x v="4"/>
    <n v="211.14"/>
  </r>
  <r>
    <x v="151"/>
    <x v="4"/>
    <n v="5"/>
    <n v="444.76"/>
    <s v="947 Main St"/>
    <s v="Debit Card"/>
    <s v="Returned"/>
    <s v="TRK91226500"/>
    <n v="7"/>
    <s v="NA"/>
    <x v="2"/>
    <n v="2223.8000000000002"/>
  </r>
  <r>
    <x v="152"/>
    <x v="3"/>
    <n v="2"/>
    <n v="399.04"/>
    <s v="659 Main St"/>
    <s v="Cash"/>
    <s v="Cancelled"/>
    <s v="TRK90329250"/>
    <n v="3"/>
    <s v="FREESHIP"/>
    <x v="1"/>
    <n v="798.08"/>
  </r>
  <r>
    <x v="153"/>
    <x v="3"/>
    <n v="4"/>
    <n v="534.48"/>
    <s v="437 Main St"/>
    <s v="Online"/>
    <s v="Returned"/>
    <s v="TRK95992269"/>
    <n v="9"/>
    <s v="WINTER15"/>
    <x v="0"/>
    <n v="2137.92"/>
  </r>
  <r>
    <x v="154"/>
    <x v="1"/>
    <n v="4"/>
    <n v="408.21"/>
    <s v="727 Main St"/>
    <s v="Credit Card"/>
    <s v="Pending"/>
    <s v="TRK13955543"/>
    <n v="9"/>
    <s v="NA"/>
    <x v="0"/>
    <n v="1632.84"/>
  </r>
  <r>
    <x v="155"/>
    <x v="1"/>
    <n v="1"/>
    <n v="424.4"/>
    <s v="446 Main St"/>
    <s v="Online"/>
    <s v="Shipped"/>
    <s v="TRK20706408"/>
    <n v="6"/>
    <s v="WINTER15"/>
    <x v="1"/>
    <n v="424.4"/>
  </r>
  <r>
    <x v="156"/>
    <x v="3"/>
    <n v="2"/>
    <n v="269.83"/>
    <s v="651 Main St"/>
    <s v="Online"/>
    <s v="Delivered"/>
    <s v="TRK24451893"/>
    <n v="4"/>
    <s v="SAVE10"/>
    <x v="2"/>
    <n v="539.66"/>
  </r>
  <r>
    <x v="157"/>
    <x v="0"/>
    <n v="2"/>
    <n v="564.58000000000004"/>
    <s v="636 Main St"/>
    <s v="Online"/>
    <s v="Returned"/>
    <s v="TRK71227815"/>
    <n v="4"/>
    <s v="WINTER15"/>
    <x v="3"/>
    <n v="1129.1600000000001"/>
  </r>
  <r>
    <x v="158"/>
    <x v="2"/>
    <n v="1"/>
    <n v="331.06"/>
    <s v="737 Main St"/>
    <s v="Credit Card"/>
    <s v="Pending"/>
    <s v="TRK46335144"/>
    <n v="5"/>
    <s v="WINTER15"/>
    <x v="0"/>
    <n v="331.06"/>
  </r>
  <r>
    <x v="159"/>
    <x v="4"/>
    <n v="1"/>
    <n v="299.35000000000002"/>
    <s v="819 Main St"/>
    <s v="Credit Card"/>
    <s v="Cancelled"/>
    <s v="TRK50921780"/>
    <n v="5"/>
    <s v="WINTER15"/>
    <x v="2"/>
    <n v="299.35000000000002"/>
  </r>
  <r>
    <x v="160"/>
    <x v="0"/>
    <n v="4"/>
    <n v="101.32"/>
    <s v="240 Main St"/>
    <s v="Cash"/>
    <s v="Pending"/>
    <s v="TRK81738254"/>
    <n v="7"/>
    <s v="NA"/>
    <x v="1"/>
    <n v="405.28"/>
  </r>
  <r>
    <x v="161"/>
    <x v="0"/>
    <n v="1"/>
    <n v="211.14"/>
    <s v="513 Main St"/>
    <s v="Credit Card"/>
    <s v="Cancelled"/>
    <s v="TRK53784452"/>
    <n v="1"/>
    <s v="SAVE10"/>
    <x v="3"/>
    <n v="211.14"/>
  </r>
  <r>
    <x v="162"/>
    <x v="3"/>
    <n v="3"/>
    <n v="65.86"/>
    <s v="917 Main St"/>
    <s v="Online"/>
    <s v="Pending"/>
    <s v="TRK79854624"/>
    <n v="8"/>
    <s v="WINTER15"/>
    <x v="4"/>
    <n v="197.58"/>
  </r>
  <r>
    <x v="163"/>
    <x v="2"/>
    <n v="1"/>
    <n v="641.39"/>
    <s v="277 Main St"/>
    <s v="Online"/>
    <s v="Cancelled"/>
    <s v="TRK16695001"/>
    <n v="1"/>
    <s v="NA"/>
    <x v="1"/>
    <n v="641.39"/>
  </r>
  <r>
    <x v="164"/>
    <x v="6"/>
    <n v="5"/>
    <n v="536.58000000000004"/>
    <s v="667 Main St"/>
    <s v="Gift Card"/>
    <s v="Pending"/>
    <s v="TRK49673411"/>
    <n v="5"/>
    <s v="SAVE10"/>
    <x v="4"/>
    <n v="2682.9"/>
  </r>
  <r>
    <x v="165"/>
    <x v="0"/>
    <n v="2"/>
    <n v="500.29"/>
    <s v="226 Main St"/>
    <s v="Online"/>
    <s v="Returned"/>
    <s v="TRK30155194"/>
    <n v="7"/>
    <s v="WINTER15"/>
    <x v="4"/>
    <n v="1000.58"/>
  </r>
  <r>
    <x v="166"/>
    <x v="3"/>
    <n v="3"/>
    <n v="86.29"/>
    <s v="565 Main St"/>
    <s v="Cash"/>
    <s v="Delivered"/>
    <s v="TRK23791726"/>
    <n v="6"/>
    <s v="WINTER15"/>
    <x v="0"/>
    <n v="258.87"/>
  </r>
  <r>
    <x v="167"/>
    <x v="3"/>
    <n v="2"/>
    <n v="384.14"/>
    <s v="219 Main St"/>
    <s v="Online"/>
    <s v="Returned"/>
    <s v="TRK44268941"/>
    <n v="2"/>
    <s v="WINTER15"/>
    <x v="2"/>
    <n v="768.28"/>
  </r>
  <r>
    <x v="168"/>
    <x v="4"/>
    <n v="1"/>
    <n v="594.96"/>
    <s v="878 Main St"/>
    <s v="Cash"/>
    <s v="Returned"/>
    <s v="TRK78551375"/>
    <n v="6"/>
    <s v="NA"/>
    <x v="3"/>
    <n v="594.96"/>
  </r>
  <r>
    <x v="169"/>
    <x v="4"/>
    <n v="1"/>
    <n v="427.82"/>
    <s v="732 Main St"/>
    <s v="Online"/>
    <s v="Delivered"/>
    <s v="TRK78923089"/>
    <n v="2"/>
    <s v="WINTER15"/>
    <x v="2"/>
    <n v="427.82"/>
  </r>
  <r>
    <x v="170"/>
    <x v="6"/>
    <n v="4"/>
    <n v="662.94"/>
    <s v="535 Main St"/>
    <s v="Cash"/>
    <s v="Cancelled"/>
    <s v="TRK68632951"/>
    <n v="8"/>
    <s v="SAVE10"/>
    <x v="0"/>
    <n v="2651.76"/>
  </r>
  <r>
    <x v="171"/>
    <x v="2"/>
    <n v="2"/>
    <n v="148.22"/>
    <s v="336 Main St"/>
    <s v="Credit Card"/>
    <s v="Delivered"/>
    <s v="TRK67379895"/>
    <n v="7"/>
    <s v="WINTER15"/>
    <x v="0"/>
    <n v="296.44"/>
  </r>
  <r>
    <x v="172"/>
    <x v="4"/>
    <n v="1"/>
    <n v="254.12"/>
    <s v="365 Main St"/>
    <s v="Online"/>
    <s v="Delivered"/>
    <s v="TRK43074303"/>
    <n v="1"/>
    <s v="WINTER15"/>
    <x v="2"/>
    <n v="254.12"/>
  </r>
  <r>
    <x v="173"/>
    <x v="1"/>
    <n v="3"/>
    <n v="664.46"/>
    <s v="806 Main St"/>
    <s v="Online"/>
    <s v="Delivered"/>
    <s v="TRK56989066"/>
    <n v="4"/>
    <s v="FREESHIP"/>
    <x v="4"/>
    <n v="1993.38"/>
  </r>
  <r>
    <x v="174"/>
    <x v="4"/>
    <n v="4"/>
    <n v="600.80999999999995"/>
    <s v="790 Main St"/>
    <s v="Debit Card"/>
    <s v="Delivered"/>
    <s v="TRK59154274"/>
    <n v="9"/>
    <s v="SAVE10"/>
    <x v="2"/>
    <n v="2403.2399999999998"/>
  </r>
  <r>
    <x v="175"/>
    <x v="3"/>
    <n v="5"/>
    <n v="68.34"/>
    <s v="332 Main St"/>
    <s v="Debit Card"/>
    <s v="Pending"/>
    <s v="TRK71410605"/>
    <n v="6"/>
    <s v="WINTER15"/>
    <x v="1"/>
    <n v="341.7"/>
  </r>
  <r>
    <x v="176"/>
    <x v="2"/>
    <n v="4"/>
    <n v="430.83"/>
    <s v="553 Main St"/>
    <s v="Gift Card"/>
    <s v="Pending"/>
    <s v="TRK88251529"/>
    <n v="8"/>
    <s v="WINTER15"/>
    <x v="1"/>
    <n v="1723.32"/>
  </r>
  <r>
    <x v="177"/>
    <x v="3"/>
    <n v="5"/>
    <n v="431.69"/>
    <s v="354 Main St"/>
    <s v="Credit Card"/>
    <s v="Pending"/>
    <s v="TRK13003066"/>
    <n v="10"/>
    <s v="NA"/>
    <x v="3"/>
    <n v="2158.4499999999998"/>
  </r>
  <r>
    <x v="178"/>
    <x v="3"/>
    <n v="4"/>
    <n v="512.05999999999995"/>
    <s v="283 Main St"/>
    <s v="Online"/>
    <s v="Delivered"/>
    <s v="TRK49791755"/>
    <n v="5"/>
    <s v="SAVE10"/>
    <x v="4"/>
    <n v="2048.2399999999998"/>
  </r>
  <r>
    <x v="179"/>
    <x v="5"/>
    <n v="3"/>
    <n v="539.91"/>
    <s v="500 Main St"/>
    <s v="Credit Card"/>
    <s v="Delivered"/>
    <s v="TRK14332053"/>
    <n v="8"/>
    <s v="NA"/>
    <x v="2"/>
    <n v="1619.73"/>
  </r>
  <r>
    <x v="180"/>
    <x v="2"/>
    <n v="5"/>
    <n v="316.07"/>
    <s v="970 Main St"/>
    <s v="Cash"/>
    <s v="Returned"/>
    <s v="TRK18713727"/>
    <n v="10"/>
    <s v="NA"/>
    <x v="4"/>
    <n v="1580.35"/>
  </r>
  <r>
    <x v="181"/>
    <x v="4"/>
    <n v="5"/>
    <n v="404.39"/>
    <s v="247 Main St"/>
    <s v="Online"/>
    <s v="Shipped"/>
    <s v="TRK17205146"/>
    <n v="10"/>
    <s v="NA"/>
    <x v="1"/>
    <n v="2021.95"/>
  </r>
  <r>
    <x v="182"/>
    <x v="6"/>
    <n v="1"/>
    <n v="600.54"/>
    <s v="596 Main St"/>
    <s v="Debit Card"/>
    <s v="Pending"/>
    <s v="TRK96188223"/>
    <n v="4"/>
    <s v="WINTER15"/>
    <x v="4"/>
    <n v="600.54"/>
  </r>
  <r>
    <x v="183"/>
    <x v="0"/>
    <n v="5"/>
    <n v="186.28"/>
    <s v="258 Main St"/>
    <s v="Debit Card"/>
    <s v="Delivered"/>
    <s v="TRK16658182"/>
    <n v="8"/>
    <s v="SAVE10"/>
    <x v="2"/>
    <n v="931.4"/>
  </r>
  <r>
    <x v="184"/>
    <x v="2"/>
    <n v="4"/>
    <n v="214.54"/>
    <s v="231 Main St"/>
    <s v="Gift Card"/>
    <s v="Cancelled"/>
    <s v="TRK39255469"/>
    <n v="7"/>
    <s v="NA"/>
    <x v="1"/>
    <n v="858.16"/>
  </r>
  <r>
    <x v="185"/>
    <x v="5"/>
    <n v="1"/>
    <n v="210.7"/>
    <s v="572 Main St"/>
    <s v="Online"/>
    <s v="Shipped"/>
    <s v="TRK96935978"/>
    <n v="2"/>
    <s v="WINTER15"/>
    <x v="1"/>
    <n v="210.7"/>
  </r>
  <r>
    <x v="186"/>
    <x v="1"/>
    <n v="2"/>
    <n v="133.55000000000001"/>
    <s v="322 Main St"/>
    <s v="Cash"/>
    <s v="Pending"/>
    <s v="TRK66388885"/>
    <n v="7"/>
    <s v="FREESHIP"/>
    <x v="3"/>
    <n v="267.10000000000002"/>
  </r>
  <r>
    <x v="187"/>
    <x v="3"/>
    <n v="1"/>
    <n v="590.87"/>
    <s v="689 Main St"/>
    <s v="Gift Card"/>
    <s v="Returned"/>
    <s v="TRK79129657"/>
    <n v="6"/>
    <s v="FREESHIP"/>
    <x v="1"/>
    <n v="590.87"/>
  </r>
  <r>
    <x v="188"/>
    <x v="3"/>
    <n v="2"/>
    <n v="363.91"/>
    <s v="927 Main St"/>
    <s v="Gift Card"/>
    <s v="Shipped"/>
    <s v="TRK19515949"/>
    <n v="2"/>
    <s v="FREESHIP"/>
    <x v="1"/>
    <n v="727.82"/>
  </r>
  <r>
    <x v="189"/>
    <x v="4"/>
    <n v="5"/>
    <n v="429.45"/>
    <s v="597 Main St"/>
    <s v="Gift Card"/>
    <s v="Cancelled"/>
    <s v="TRK62786764"/>
    <n v="5"/>
    <s v="WINTER15"/>
    <x v="2"/>
    <n v="2147.25"/>
  </r>
  <r>
    <x v="190"/>
    <x v="4"/>
    <n v="3"/>
    <n v="223.7"/>
    <s v="725 Main St"/>
    <s v="Cash"/>
    <s v="Returned"/>
    <s v="TRK79638203"/>
    <n v="3"/>
    <s v="SAVE10"/>
    <x v="2"/>
    <n v="671.09999999999991"/>
  </r>
  <r>
    <x v="191"/>
    <x v="5"/>
    <n v="2"/>
    <n v="488.87"/>
    <s v="505 Main St"/>
    <s v="Online"/>
    <s v="Cancelled"/>
    <s v="TRK58520306"/>
    <n v="4"/>
    <s v="FREESHIP"/>
    <x v="4"/>
    <n v="977.74"/>
  </r>
  <r>
    <x v="192"/>
    <x v="6"/>
    <n v="1"/>
    <n v="645.46"/>
    <s v="151 Main St"/>
    <s v="Gift Card"/>
    <s v="Cancelled"/>
    <s v="TRK19749672"/>
    <n v="5"/>
    <s v="SAVE10"/>
    <x v="4"/>
    <n v="645.46"/>
  </r>
  <r>
    <x v="193"/>
    <x v="4"/>
    <n v="1"/>
    <n v="46.66"/>
    <s v="429 Main St"/>
    <s v="Cash"/>
    <s v="Cancelled"/>
    <s v="TRK81320339"/>
    <n v="6"/>
    <s v="NA"/>
    <x v="4"/>
    <n v="46.66"/>
  </r>
  <r>
    <x v="194"/>
    <x v="0"/>
    <n v="1"/>
    <n v="249.57"/>
    <s v="899 Main St"/>
    <s v="Cash"/>
    <s v="Shipped"/>
    <s v="TRK90144892"/>
    <n v="3"/>
    <s v="FREESHIP"/>
    <x v="4"/>
    <n v="249.57"/>
  </r>
  <r>
    <x v="195"/>
    <x v="3"/>
    <n v="3"/>
    <n v="619.21"/>
    <s v="801 Main St"/>
    <s v="Debit Card"/>
    <s v="Cancelled"/>
    <s v="TRK65385674"/>
    <n v="6"/>
    <s v="NA"/>
    <x v="2"/>
    <n v="1857.63"/>
  </r>
  <r>
    <x v="196"/>
    <x v="6"/>
    <n v="4"/>
    <n v="217.13"/>
    <s v="719 Main St"/>
    <s v="Cash"/>
    <s v="Delivered"/>
    <s v="TRK64165503"/>
    <n v="8"/>
    <s v="WINTER15"/>
    <x v="2"/>
    <n v="868.52"/>
  </r>
  <r>
    <x v="197"/>
    <x v="5"/>
    <n v="5"/>
    <n v="221.51"/>
    <s v="723 Main St"/>
    <s v="Cash"/>
    <s v="Returned"/>
    <s v="TRK95222269"/>
    <n v="5"/>
    <s v="WINTER15"/>
    <x v="1"/>
    <n v="1107.55"/>
  </r>
  <r>
    <x v="198"/>
    <x v="5"/>
    <n v="4"/>
    <n v="340.3"/>
    <s v="926 Main St"/>
    <s v="Cash"/>
    <s v="Cancelled"/>
    <s v="TRK94405162"/>
    <n v="8"/>
    <s v="SAVE10"/>
    <x v="1"/>
    <n v="1361.2"/>
  </r>
  <r>
    <x v="199"/>
    <x v="1"/>
    <n v="1"/>
    <n v="625"/>
    <s v="358 Main St"/>
    <s v="Online"/>
    <s v="Returned"/>
    <s v="TRK21114341"/>
    <n v="5"/>
    <s v="WINTER15"/>
    <x v="4"/>
    <n v="625"/>
  </r>
  <r>
    <x v="200"/>
    <x v="2"/>
    <n v="5"/>
    <n v="433.26"/>
    <s v="895 Main St"/>
    <s v="Credit Card"/>
    <s v="Delivered"/>
    <s v="TRK37531040"/>
    <n v="9"/>
    <s v="SAVE10"/>
    <x v="4"/>
    <n v="2166.3000000000002"/>
  </r>
  <r>
    <x v="201"/>
    <x v="0"/>
    <n v="2"/>
    <n v="674.9"/>
    <s v="146 Main St"/>
    <s v="Online"/>
    <s v="Shipped"/>
    <s v="TRK75607531"/>
    <n v="4"/>
    <s v="SAVE10"/>
    <x v="3"/>
    <n v="1349.8"/>
  </r>
  <r>
    <x v="202"/>
    <x v="0"/>
    <n v="3"/>
    <n v="253.98"/>
    <s v="636 Main St"/>
    <s v="Credit Card"/>
    <s v="Cancelled"/>
    <s v="TRK52522904"/>
    <n v="3"/>
    <s v="FREESHIP"/>
    <x v="2"/>
    <n v="761.93999999999994"/>
  </r>
  <r>
    <x v="203"/>
    <x v="4"/>
    <n v="3"/>
    <n v="356.84"/>
    <s v="172 Main St"/>
    <s v="Online"/>
    <s v="Shipped"/>
    <s v="TRK89849342"/>
    <n v="5"/>
    <s v="SAVE10"/>
    <x v="0"/>
    <n v="1070.52"/>
  </r>
  <r>
    <x v="204"/>
    <x v="5"/>
    <n v="4"/>
    <n v="413.71"/>
    <s v="478 Main St"/>
    <s v="Gift Card"/>
    <s v="Cancelled"/>
    <s v="TRK21638425"/>
    <n v="9"/>
    <s v="FREESHIP"/>
    <x v="3"/>
    <n v="1654.84"/>
  </r>
  <r>
    <x v="205"/>
    <x v="6"/>
    <n v="3"/>
    <n v="147.38999999999999"/>
    <s v="609 Main St"/>
    <s v="Debit Card"/>
    <s v="Returned"/>
    <s v="TRK58357269"/>
    <n v="3"/>
    <s v="NA"/>
    <x v="2"/>
    <n v="442.17"/>
  </r>
  <r>
    <x v="206"/>
    <x v="5"/>
    <n v="4"/>
    <n v="229.1"/>
    <s v="729 Main St"/>
    <s v="Gift Card"/>
    <s v="Returned"/>
    <s v="TRK77172975"/>
    <n v="8"/>
    <s v="WINTER15"/>
    <x v="2"/>
    <n v="916.4"/>
  </r>
  <r>
    <x v="207"/>
    <x v="1"/>
    <n v="1"/>
    <n v="121.96"/>
    <s v="999 Main St"/>
    <s v="Debit Card"/>
    <s v="Delivered"/>
    <s v="TRK44416659"/>
    <n v="3"/>
    <s v="NA"/>
    <x v="4"/>
    <n v="121.96"/>
  </r>
  <r>
    <x v="208"/>
    <x v="6"/>
    <n v="2"/>
    <n v="408.32"/>
    <s v="597 Main St"/>
    <s v="Online"/>
    <s v="Shipped"/>
    <s v="TRK29003608"/>
    <n v="3"/>
    <s v="FREESHIP"/>
    <x v="3"/>
    <n v="816.64"/>
  </r>
  <r>
    <x v="209"/>
    <x v="2"/>
    <n v="5"/>
    <n v="187.97"/>
    <s v="706 Main St"/>
    <s v="Cash"/>
    <s v="Returned"/>
    <s v="TRK30615168"/>
    <n v="9"/>
    <s v="SAVE10"/>
    <x v="4"/>
    <n v="939.85"/>
  </r>
  <r>
    <x v="210"/>
    <x v="3"/>
    <n v="3"/>
    <n v="358.48"/>
    <s v="513 Main St"/>
    <s v="Gift Card"/>
    <s v="Delivered"/>
    <s v="TRK10658539"/>
    <n v="7"/>
    <s v="FREESHIP"/>
    <x v="3"/>
    <n v="1075.44"/>
  </r>
  <r>
    <x v="211"/>
    <x v="4"/>
    <n v="3"/>
    <n v="193.58"/>
    <s v="185 Main St"/>
    <s v="Gift Card"/>
    <s v="Pending"/>
    <s v="TRK83853742"/>
    <n v="7"/>
    <s v="FREESHIP"/>
    <x v="2"/>
    <n v="580.74"/>
  </r>
  <r>
    <x v="212"/>
    <x v="0"/>
    <n v="1"/>
    <n v="265.38"/>
    <s v="367 Main St"/>
    <s v="Credit Card"/>
    <s v="Cancelled"/>
    <s v="TRK34751835"/>
    <n v="6"/>
    <s v="WINTER15"/>
    <x v="2"/>
    <n v="265.38"/>
  </r>
  <r>
    <x v="213"/>
    <x v="5"/>
    <n v="1"/>
    <n v="634.4"/>
    <s v="317 Main St"/>
    <s v="Cash"/>
    <s v="Cancelled"/>
    <s v="TRK54757882"/>
    <n v="6"/>
    <s v="SAVE10"/>
    <x v="2"/>
    <n v="634.4"/>
  </r>
  <r>
    <x v="214"/>
    <x v="6"/>
    <n v="4"/>
    <n v="305.72000000000003"/>
    <s v="673 Main St"/>
    <s v="Online"/>
    <s v="Delivered"/>
    <s v="TRK89423603"/>
    <n v="5"/>
    <s v="NA"/>
    <x v="3"/>
    <n v="1222.8800000000001"/>
  </r>
  <r>
    <x v="215"/>
    <x v="4"/>
    <n v="1"/>
    <n v="303.60000000000002"/>
    <s v="432 Main St"/>
    <s v="Cash"/>
    <s v="Shipped"/>
    <s v="TRK24585307"/>
    <n v="5"/>
    <s v="FREESHIP"/>
    <x v="3"/>
    <n v="303.60000000000002"/>
  </r>
  <r>
    <x v="216"/>
    <x v="0"/>
    <n v="4"/>
    <n v="496"/>
    <s v="811 Main St"/>
    <s v="Online"/>
    <s v="Cancelled"/>
    <s v="TRK84625405"/>
    <n v="8"/>
    <s v="WINTER15"/>
    <x v="4"/>
    <n v="1984"/>
  </r>
  <r>
    <x v="217"/>
    <x v="6"/>
    <n v="4"/>
    <n v="321.51"/>
    <s v="908 Main St"/>
    <s v="Cash"/>
    <s v="Returned"/>
    <s v="TRK65596914"/>
    <n v="9"/>
    <s v="NA"/>
    <x v="4"/>
    <n v="1286.04"/>
  </r>
  <r>
    <x v="218"/>
    <x v="2"/>
    <n v="3"/>
    <n v="112.46"/>
    <s v="882 Main St"/>
    <s v="Gift Card"/>
    <s v="Shipped"/>
    <s v="TRK10993930"/>
    <n v="6"/>
    <s v="SAVE10"/>
    <x v="0"/>
    <n v="337.38"/>
  </r>
  <r>
    <x v="219"/>
    <x v="5"/>
    <n v="5"/>
    <n v="61.97"/>
    <s v="457 Main St"/>
    <s v="Cash"/>
    <s v="Delivered"/>
    <s v="TRK99387220"/>
    <n v="6"/>
    <s v="SAVE10"/>
    <x v="2"/>
    <n v="309.85000000000002"/>
  </r>
  <r>
    <x v="220"/>
    <x v="5"/>
    <n v="2"/>
    <n v="373.17"/>
    <s v="497 Main St"/>
    <s v="Credit Card"/>
    <s v="Pending"/>
    <s v="TRK95188748"/>
    <n v="6"/>
    <s v="SAVE10"/>
    <x v="1"/>
    <n v="746.34"/>
  </r>
  <r>
    <x v="221"/>
    <x v="2"/>
    <n v="5"/>
    <n v="639.37"/>
    <s v="552 Main St"/>
    <s v="Debit Card"/>
    <s v="Pending"/>
    <s v="TRK50003989"/>
    <n v="6"/>
    <s v="SAVE10"/>
    <x v="4"/>
    <n v="3196.85"/>
  </r>
  <r>
    <x v="222"/>
    <x v="3"/>
    <n v="4"/>
    <n v="693.36"/>
    <s v="931 Main St"/>
    <s v="Online"/>
    <s v="Shipped"/>
    <s v="TRK17293348"/>
    <n v="8"/>
    <s v="NA"/>
    <x v="0"/>
    <n v="2773.44"/>
  </r>
  <r>
    <x v="223"/>
    <x v="1"/>
    <n v="4"/>
    <n v="692.91"/>
    <s v="673 Main St"/>
    <s v="Credit Card"/>
    <s v="Pending"/>
    <s v="TRK55009149"/>
    <n v="9"/>
    <s v="SAVE10"/>
    <x v="0"/>
    <n v="2771.64"/>
  </r>
  <r>
    <x v="224"/>
    <x v="4"/>
    <n v="4"/>
    <n v="91.46"/>
    <s v="507 Main St"/>
    <s v="Cash"/>
    <s v="Cancelled"/>
    <s v="TRK17554673"/>
    <n v="9"/>
    <s v="SAVE10"/>
    <x v="1"/>
    <n v="365.84"/>
  </r>
  <r>
    <x v="225"/>
    <x v="1"/>
    <n v="3"/>
    <n v="273.95999999999998"/>
    <s v="692 Main St"/>
    <s v="Debit Card"/>
    <s v="Returned"/>
    <s v="TRK50246700"/>
    <n v="8"/>
    <s v="SAVE10"/>
    <x v="4"/>
    <n v="821.87999999999988"/>
  </r>
  <r>
    <x v="226"/>
    <x v="6"/>
    <n v="3"/>
    <n v="588.04999999999995"/>
    <s v="242 Main St"/>
    <s v="Gift Card"/>
    <s v="Delivered"/>
    <s v="TRK93063929"/>
    <n v="8"/>
    <s v="NA"/>
    <x v="0"/>
    <n v="1764.15"/>
  </r>
  <r>
    <x v="227"/>
    <x v="0"/>
    <n v="2"/>
    <n v="365.17"/>
    <s v="353 Main St"/>
    <s v="Online"/>
    <s v="Cancelled"/>
    <s v="TRK89023251"/>
    <n v="4"/>
    <s v="FREESHIP"/>
    <x v="3"/>
    <n v="730.34"/>
  </r>
  <r>
    <x v="228"/>
    <x v="3"/>
    <n v="4"/>
    <n v="385.92"/>
    <s v="579 Main St"/>
    <s v="Credit Card"/>
    <s v="Cancelled"/>
    <s v="TRK92055007"/>
    <n v="8"/>
    <s v="NA"/>
    <x v="0"/>
    <n v="1543.68"/>
  </r>
  <r>
    <x v="229"/>
    <x v="2"/>
    <n v="1"/>
    <n v="562.61"/>
    <s v="762 Main St"/>
    <s v="Credit Card"/>
    <s v="Delivered"/>
    <s v="TRK70997648"/>
    <n v="3"/>
    <s v="WINTER15"/>
    <x v="3"/>
    <n v="562.61"/>
  </r>
  <r>
    <x v="230"/>
    <x v="6"/>
    <n v="4"/>
    <n v="61.91"/>
    <s v="948 Main St"/>
    <s v="Gift Card"/>
    <s v="Delivered"/>
    <s v="TRK24497305"/>
    <n v="6"/>
    <s v="WINTER15"/>
    <x v="2"/>
    <n v="247.64"/>
  </r>
  <r>
    <x v="231"/>
    <x v="1"/>
    <n v="4"/>
    <n v="41.9"/>
    <s v="327 Main St"/>
    <s v="Gift Card"/>
    <s v="Pending"/>
    <s v="TRK46898848"/>
    <n v="9"/>
    <s v="FREESHIP"/>
    <x v="0"/>
    <n v="167.6"/>
  </r>
  <r>
    <x v="232"/>
    <x v="4"/>
    <n v="4"/>
    <n v="444.44"/>
    <s v="610 Main St"/>
    <s v="Debit Card"/>
    <s v="Cancelled"/>
    <s v="TRK75568437"/>
    <n v="8"/>
    <s v="WINTER15"/>
    <x v="4"/>
    <n v="1777.76"/>
  </r>
  <r>
    <x v="233"/>
    <x v="1"/>
    <n v="3"/>
    <n v="311.33"/>
    <s v="146 Main St"/>
    <s v="Cash"/>
    <s v="Cancelled"/>
    <s v="TRK73699939"/>
    <n v="3"/>
    <s v="WINTER15"/>
    <x v="0"/>
    <n v="933.99"/>
  </r>
  <r>
    <x v="234"/>
    <x v="4"/>
    <n v="4"/>
    <n v="236.41"/>
    <s v="337 Main St"/>
    <s v="Debit Card"/>
    <s v="Pending"/>
    <s v="TRK26957950"/>
    <n v="7"/>
    <s v="SAVE10"/>
    <x v="4"/>
    <n v="945.64"/>
  </r>
  <r>
    <x v="235"/>
    <x v="6"/>
    <n v="1"/>
    <n v="65.45"/>
    <s v="815 Main St"/>
    <s v="Cash"/>
    <s v="Pending"/>
    <s v="TRK30009218"/>
    <n v="2"/>
    <s v="WINTER15"/>
    <x v="4"/>
    <n v="65.45"/>
  </r>
  <r>
    <x v="236"/>
    <x v="0"/>
    <n v="1"/>
    <n v="318.81"/>
    <s v="562 Main St"/>
    <s v="Debit Card"/>
    <s v="Pending"/>
    <s v="TRK39663243"/>
    <n v="3"/>
    <s v="WINTER15"/>
    <x v="2"/>
    <n v="318.81"/>
  </r>
  <r>
    <x v="237"/>
    <x v="0"/>
    <n v="3"/>
    <n v="583.72"/>
    <s v="783 Main St"/>
    <s v="Credit Card"/>
    <s v="Shipped"/>
    <s v="TRK74097570"/>
    <n v="5"/>
    <s v="FREESHIP"/>
    <x v="3"/>
    <n v="1751.16"/>
  </r>
  <r>
    <x v="238"/>
    <x v="6"/>
    <n v="4"/>
    <n v="384.32"/>
    <s v="770 Main St"/>
    <s v="Credit Card"/>
    <s v="Pending"/>
    <s v="TRK76307307"/>
    <n v="6"/>
    <s v="WINTER15"/>
    <x v="4"/>
    <n v="1537.28"/>
  </r>
  <r>
    <x v="239"/>
    <x v="2"/>
    <n v="3"/>
    <n v="538.74"/>
    <s v="456 Main St"/>
    <s v="Online"/>
    <s v="Shipped"/>
    <s v="TRK71127943"/>
    <n v="6"/>
    <s v="FREESHIP"/>
    <x v="2"/>
    <n v="1616.22"/>
  </r>
  <r>
    <x v="240"/>
    <x v="2"/>
    <n v="1"/>
    <n v="17.239999999999998"/>
    <s v="255 Main St"/>
    <s v="Online"/>
    <s v="Pending"/>
    <s v="TRK93444157"/>
    <n v="2"/>
    <s v="FREESHIP"/>
    <x v="0"/>
    <n v="17.239999999999998"/>
  </r>
  <r>
    <x v="241"/>
    <x v="3"/>
    <n v="5"/>
    <n v="615.66999999999996"/>
    <s v="407 Main St"/>
    <s v="Online"/>
    <s v="Pending"/>
    <s v="TRK44164590"/>
    <n v="6"/>
    <s v="SAVE10"/>
    <x v="2"/>
    <n v="3078.35"/>
  </r>
  <r>
    <x v="242"/>
    <x v="4"/>
    <n v="2"/>
    <n v="219.1"/>
    <s v="134 Main St"/>
    <s v="Online"/>
    <s v="Pending"/>
    <s v="TRK97794327"/>
    <n v="4"/>
    <s v="SAVE10"/>
    <x v="1"/>
    <n v="438.2"/>
  </r>
  <r>
    <x v="243"/>
    <x v="3"/>
    <n v="2"/>
    <n v="144.66"/>
    <s v="506 Main St"/>
    <s v="Online"/>
    <s v="Cancelled"/>
    <s v="TRK30601940"/>
    <n v="7"/>
    <s v="FREESHIP"/>
    <x v="4"/>
    <n v="289.32"/>
  </r>
  <r>
    <x v="244"/>
    <x v="6"/>
    <n v="2"/>
    <n v="317.77"/>
    <s v="838 Main St"/>
    <s v="Debit Card"/>
    <s v="Cancelled"/>
    <s v="TRK51518631"/>
    <n v="4"/>
    <s v="WINTER15"/>
    <x v="3"/>
    <n v="635.54"/>
  </r>
  <r>
    <x v="245"/>
    <x v="5"/>
    <n v="1"/>
    <n v="223.3"/>
    <s v="306 Main St"/>
    <s v="Online"/>
    <s v="Returned"/>
    <s v="TRK25390491"/>
    <n v="1"/>
    <s v="NA"/>
    <x v="3"/>
    <n v="223.3"/>
  </r>
  <r>
    <x v="246"/>
    <x v="6"/>
    <n v="2"/>
    <n v="342.11"/>
    <s v="164 Main St"/>
    <s v="Gift Card"/>
    <s v="Shipped"/>
    <s v="TRK15439493"/>
    <n v="2"/>
    <s v="WINTER15"/>
    <x v="0"/>
    <n v="684.22"/>
  </r>
  <r>
    <x v="247"/>
    <x v="4"/>
    <n v="2"/>
    <n v="220.9"/>
    <s v="785 Main St"/>
    <s v="Gift Card"/>
    <s v="Shipped"/>
    <s v="TRK84984764"/>
    <n v="4"/>
    <s v="NA"/>
    <x v="2"/>
    <n v="441.8"/>
  </r>
  <r>
    <x v="248"/>
    <x v="5"/>
    <n v="1"/>
    <n v="670.54"/>
    <s v="471 Main St"/>
    <s v="Cash"/>
    <s v="Shipped"/>
    <s v="TRK62283713"/>
    <n v="6"/>
    <s v="FREESHIP"/>
    <x v="1"/>
    <n v="670.54"/>
  </r>
  <r>
    <x v="249"/>
    <x v="4"/>
    <n v="1"/>
    <n v="546.19000000000005"/>
    <s v="245 Main St"/>
    <s v="Cash"/>
    <s v="Pending"/>
    <s v="TRK35464433"/>
    <n v="5"/>
    <s v="FREESHIP"/>
    <x v="1"/>
    <n v="546.19000000000005"/>
  </r>
  <r>
    <x v="250"/>
    <x v="6"/>
    <n v="3"/>
    <n v="42.95"/>
    <s v="318 Main St"/>
    <s v="Gift Card"/>
    <s v="Returned"/>
    <s v="TRK67954150"/>
    <n v="8"/>
    <s v="SAVE10"/>
    <x v="2"/>
    <n v="128.85"/>
  </r>
  <r>
    <x v="251"/>
    <x v="0"/>
    <n v="4"/>
    <n v="14.69"/>
    <s v="814 Main St"/>
    <s v="Cash"/>
    <s v="Cancelled"/>
    <s v="TRK32995144"/>
    <n v="9"/>
    <s v="NA"/>
    <x v="2"/>
    <n v="58.76"/>
  </r>
  <r>
    <x v="252"/>
    <x v="1"/>
    <n v="4"/>
    <n v="668.36"/>
    <s v="821 Main St"/>
    <s v="Gift Card"/>
    <s v="Cancelled"/>
    <s v="TRK51297879"/>
    <n v="5"/>
    <s v="FREESHIP"/>
    <x v="3"/>
    <n v="2673.44"/>
  </r>
  <r>
    <x v="253"/>
    <x v="3"/>
    <n v="4"/>
    <n v="413.74"/>
    <s v="743 Main St"/>
    <s v="Gift Card"/>
    <s v="Returned"/>
    <s v="TRK79471534"/>
    <n v="7"/>
    <s v="FREESHIP"/>
    <x v="0"/>
    <n v="1654.96"/>
  </r>
  <r>
    <x v="254"/>
    <x v="0"/>
    <n v="3"/>
    <n v="263.19"/>
    <s v="770 Main St"/>
    <s v="Online"/>
    <s v="Delivered"/>
    <s v="TRK34809583"/>
    <n v="5"/>
    <s v="NA"/>
    <x v="0"/>
    <n v="789.56999999999994"/>
  </r>
  <r>
    <x v="255"/>
    <x v="0"/>
    <n v="1"/>
    <n v="263.95999999999998"/>
    <s v="806 Main St"/>
    <s v="Gift Card"/>
    <s v="Returned"/>
    <s v="TRK56235117"/>
    <n v="2"/>
    <s v="SAVE10"/>
    <x v="4"/>
    <n v="263.95999999999998"/>
  </r>
  <r>
    <x v="256"/>
    <x v="3"/>
    <n v="5"/>
    <n v="75.81"/>
    <s v="463 Main St"/>
    <s v="Gift Card"/>
    <s v="Returned"/>
    <s v="TRK22663277"/>
    <n v="10"/>
    <s v="WINTER15"/>
    <x v="0"/>
    <n v="379.05"/>
  </r>
  <r>
    <x v="257"/>
    <x v="1"/>
    <n v="1"/>
    <n v="406.22"/>
    <s v="712 Main St"/>
    <s v="Credit Card"/>
    <s v="Cancelled"/>
    <s v="TRK41059233"/>
    <n v="5"/>
    <s v="SAVE10"/>
    <x v="1"/>
    <n v="406.22"/>
  </r>
  <r>
    <x v="258"/>
    <x v="2"/>
    <n v="2"/>
    <n v="103.41"/>
    <s v="294 Main St"/>
    <s v="Online"/>
    <s v="Shipped"/>
    <s v="TRK94082469"/>
    <n v="2"/>
    <s v="FREESHIP"/>
    <x v="1"/>
    <n v="206.82"/>
  </r>
  <r>
    <x v="259"/>
    <x v="3"/>
    <n v="4"/>
    <n v="435.12"/>
    <s v="636 Main St"/>
    <s v="Credit Card"/>
    <s v="Delivered"/>
    <s v="TRK54991561"/>
    <n v="9"/>
    <s v="SAVE10"/>
    <x v="0"/>
    <n v="1740.48"/>
  </r>
  <r>
    <x v="260"/>
    <x v="0"/>
    <n v="2"/>
    <n v="407.79"/>
    <s v="153 Main St"/>
    <s v="Debit Card"/>
    <s v="Shipped"/>
    <s v="TRK22000463"/>
    <n v="3"/>
    <s v="NA"/>
    <x v="4"/>
    <n v="815.58"/>
  </r>
  <r>
    <x v="261"/>
    <x v="1"/>
    <n v="5"/>
    <n v="173.65"/>
    <s v="460 Main St"/>
    <s v="Gift Card"/>
    <s v="Delivered"/>
    <s v="TRK25491356"/>
    <n v="9"/>
    <s v="SAVE10"/>
    <x v="2"/>
    <n v="868.25"/>
  </r>
  <r>
    <x v="262"/>
    <x v="1"/>
    <n v="4"/>
    <n v="249.07"/>
    <s v="642 Main St"/>
    <s v="Credit Card"/>
    <s v="Returned"/>
    <s v="TRK65869386"/>
    <n v="5"/>
    <s v="WINTER15"/>
    <x v="1"/>
    <n v="996.28"/>
  </r>
  <r>
    <x v="263"/>
    <x v="1"/>
    <n v="4"/>
    <n v="434.85"/>
    <s v="250 Main St"/>
    <s v="Credit Card"/>
    <s v="Pending"/>
    <s v="TRK41397604"/>
    <n v="4"/>
    <s v="WINTER15"/>
    <x v="4"/>
    <n v="1739.4"/>
  </r>
  <r>
    <x v="264"/>
    <x v="2"/>
    <n v="1"/>
    <n v="436.77"/>
    <s v="977 Main St"/>
    <s v="Cash"/>
    <s v="Returned"/>
    <s v="TRK19599578"/>
    <n v="5"/>
    <s v="FREESHIP"/>
    <x v="4"/>
    <n v="436.77"/>
  </r>
  <r>
    <x v="265"/>
    <x v="4"/>
    <n v="1"/>
    <n v="572.13"/>
    <s v="150 Main St"/>
    <s v="Debit Card"/>
    <s v="Cancelled"/>
    <s v="TRK22298450"/>
    <n v="4"/>
    <s v="SAVE10"/>
    <x v="4"/>
    <n v="572.13"/>
  </r>
  <r>
    <x v="266"/>
    <x v="3"/>
    <n v="4"/>
    <n v="583.07000000000005"/>
    <s v="589 Main St"/>
    <s v="Credit Card"/>
    <s v="Cancelled"/>
    <s v="TRK48484633"/>
    <n v="6"/>
    <s v="FREESHIP"/>
    <x v="1"/>
    <n v="2332.2800000000002"/>
  </r>
  <r>
    <x v="267"/>
    <x v="3"/>
    <n v="5"/>
    <n v="468.51"/>
    <s v="803 Main St"/>
    <s v="Debit Card"/>
    <s v="Delivered"/>
    <s v="TRK62361867"/>
    <n v="9"/>
    <s v="NA"/>
    <x v="3"/>
    <n v="2342.5500000000002"/>
  </r>
  <r>
    <x v="268"/>
    <x v="1"/>
    <n v="2"/>
    <n v="423.88"/>
    <s v="655 Main St"/>
    <s v="Debit Card"/>
    <s v="Delivered"/>
    <s v="TRK48639226"/>
    <n v="7"/>
    <s v="SAVE10"/>
    <x v="1"/>
    <n v="847.76"/>
  </r>
  <r>
    <x v="269"/>
    <x v="2"/>
    <n v="4"/>
    <n v="663.67"/>
    <s v="129 Main St"/>
    <s v="Credit Card"/>
    <s v="Pending"/>
    <s v="TRK29355120"/>
    <n v="7"/>
    <s v="FREESHIP"/>
    <x v="4"/>
    <n v="2654.68"/>
  </r>
  <r>
    <x v="270"/>
    <x v="4"/>
    <n v="4"/>
    <n v="309.91000000000003"/>
    <s v="127 Main St"/>
    <s v="Debit Card"/>
    <s v="Shipped"/>
    <s v="TRK81087373"/>
    <n v="5"/>
    <s v="WINTER15"/>
    <x v="4"/>
    <n v="1239.6400000000001"/>
  </r>
  <r>
    <x v="271"/>
    <x v="0"/>
    <n v="1"/>
    <n v="542.07000000000005"/>
    <s v="791 Main St"/>
    <s v="Cash"/>
    <s v="Shipped"/>
    <s v="TRK16792991"/>
    <n v="6"/>
    <s v="WINTER15"/>
    <x v="1"/>
    <n v="542.07000000000005"/>
  </r>
  <r>
    <x v="272"/>
    <x v="3"/>
    <n v="2"/>
    <n v="399.32"/>
    <s v="119 Main St"/>
    <s v="Online"/>
    <s v="Pending"/>
    <s v="TRK12990043"/>
    <n v="6"/>
    <s v="WINTER15"/>
    <x v="0"/>
    <n v="798.64"/>
  </r>
  <r>
    <x v="273"/>
    <x v="2"/>
    <n v="2"/>
    <n v="238.25"/>
    <s v="974 Main St"/>
    <s v="Online"/>
    <s v="Cancelled"/>
    <s v="TRK91195261"/>
    <n v="7"/>
    <s v="FREESHIP"/>
    <x v="2"/>
    <n v="476.5"/>
  </r>
  <r>
    <x v="274"/>
    <x v="1"/>
    <n v="2"/>
    <n v="182.4"/>
    <s v="884 Main St"/>
    <s v="Gift Card"/>
    <s v="Cancelled"/>
    <s v="TRK65300814"/>
    <n v="5"/>
    <s v="SAVE10"/>
    <x v="1"/>
    <n v="364.8"/>
  </r>
  <r>
    <x v="275"/>
    <x v="3"/>
    <n v="2"/>
    <n v="65.069999999999993"/>
    <s v="360 Main St"/>
    <s v="Credit Card"/>
    <s v="Cancelled"/>
    <s v="TRK99880231"/>
    <n v="4"/>
    <s v="SAVE10"/>
    <x v="4"/>
    <n v="130.13999999999999"/>
  </r>
  <r>
    <x v="276"/>
    <x v="4"/>
    <n v="2"/>
    <n v="600.57000000000005"/>
    <s v="654 Main St"/>
    <s v="Debit Card"/>
    <s v="Returned"/>
    <s v="TRK56927089"/>
    <n v="3"/>
    <s v="WINTER15"/>
    <x v="0"/>
    <n v="1201.1400000000001"/>
  </r>
  <r>
    <x v="277"/>
    <x v="3"/>
    <n v="5"/>
    <n v="90.92"/>
    <s v="910 Main St"/>
    <s v="Credit Card"/>
    <s v="Delivered"/>
    <s v="TRK44929965"/>
    <n v="9"/>
    <s v="SAVE10"/>
    <x v="3"/>
    <n v="454.6"/>
  </r>
  <r>
    <x v="278"/>
    <x v="5"/>
    <n v="5"/>
    <n v="362.46"/>
    <s v="299 Main St"/>
    <s v="Cash"/>
    <s v="Delivered"/>
    <s v="TRK46598430"/>
    <n v="6"/>
    <s v="FREESHIP"/>
    <x v="0"/>
    <n v="1812.3"/>
  </r>
  <r>
    <x v="279"/>
    <x v="3"/>
    <n v="3"/>
    <n v="55.01"/>
    <s v="263 Main St"/>
    <s v="Online"/>
    <s v="Pending"/>
    <s v="TRK12425655"/>
    <n v="7"/>
    <s v="WINTER15"/>
    <x v="2"/>
    <n v="165.03"/>
  </r>
  <r>
    <x v="280"/>
    <x v="2"/>
    <n v="3"/>
    <n v="404.62"/>
    <s v="740 Main St"/>
    <s v="Gift Card"/>
    <s v="Delivered"/>
    <s v="TRK75741001"/>
    <n v="6"/>
    <s v="FREESHIP"/>
    <x v="0"/>
    <n v="1213.8599999999999"/>
  </r>
  <r>
    <x v="281"/>
    <x v="6"/>
    <n v="4"/>
    <n v="654.79"/>
    <s v="195 Main St"/>
    <s v="Cash"/>
    <s v="Pending"/>
    <s v="TRK60093390"/>
    <n v="9"/>
    <s v="NA"/>
    <x v="1"/>
    <n v="2619.16"/>
  </r>
  <r>
    <x v="282"/>
    <x v="4"/>
    <n v="4"/>
    <n v="637.79"/>
    <s v="375 Main St"/>
    <s v="Gift Card"/>
    <s v="Cancelled"/>
    <s v="TRK71810536"/>
    <n v="9"/>
    <s v="FREESHIP"/>
    <x v="4"/>
    <n v="2551.16"/>
  </r>
  <r>
    <x v="283"/>
    <x v="5"/>
    <n v="4"/>
    <n v="540.33000000000004"/>
    <s v="990 Main St"/>
    <s v="Cash"/>
    <s v="Shipped"/>
    <s v="TRK69745608"/>
    <n v="6"/>
    <s v="NA"/>
    <x v="4"/>
    <n v="2161.3200000000002"/>
  </r>
  <r>
    <x v="284"/>
    <x v="5"/>
    <n v="5"/>
    <n v="208.17"/>
    <s v="516 Main St"/>
    <s v="Credit Card"/>
    <s v="Returned"/>
    <s v="TRK22023906"/>
    <n v="6"/>
    <s v="SAVE10"/>
    <x v="3"/>
    <n v="1040.8499999999999"/>
  </r>
  <r>
    <x v="285"/>
    <x v="1"/>
    <n v="1"/>
    <n v="338.31"/>
    <s v="974 Main St"/>
    <s v="Online"/>
    <s v="Delivered"/>
    <s v="TRK93281700"/>
    <n v="3"/>
    <s v="NA"/>
    <x v="4"/>
    <n v="338.31"/>
  </r>
  <r>
    <x v="286"/>
    <x v="0"/>
    <n v="3"/>
    <n v="139.44999999999999"/>
    <s v="187 Main St"/>
    <s v="Gift Card"/>
    <s v="Returned"/>
    <s v="TRK61086952"/>
    <n v="8"/>
    <s v="WINTER15"/>
    <x v="4"/>
    <n v="418.35"/>
  </r>
  <r>
    <x v="287"/>
    <x v="3"/>
    <n v="4"/>
    <n v="655.17999999999995"/>
    <s v="630 Main St"/>
    <s v="Online"/>
    <s v="Shipped"/>
    <s v="TRK26628830"/>
    <n v="5"/>
    <s v="NA"/>
    <x v="3"/>
    <n v="2620.7199999999998"/>
  </r>
  <r>
    <x v="288"/>
    <x v="5"/>
    <n v="4"/>
    <n v="512.75"/>
    <s v="537 Main St"/>
    <s v="Debit Card"/>
    <s v="Returned"/>
    <s v="TRK60831391"/>
    <n v="8"/>
    <s v="WINTER15"/>
    <x v="4"/>
    <n v="2051"/>
  </r>
  <r>
    <x v="289"/>
    <x v="3"/>
    <n v="4"/>
    <n v="160.49"/>
    <s v="333 Main St"/>
    <s v="Credit Card"/>
    <s v="Shipped"/>
    <s v="TRK55362541"/>
    <n v="8"/>
    <s v="WINTER15"/>
    <x v="1"/>
    <n v="641.96"/>
  </r>
  <r>
    <x v="290"/>
    <x v="3"/>
    <n v="3"/>
    <n v="99.9"/>
    <s v="258 Main St"/>
    <s v="Cash"/>
    <s v="Delivered"/>
    <s v="TRK14029489"/>
    <n v="8"/>
    <s v="FREESHIP"/>
    <x v="3"/>
    <n v="299.7"/>
  </r>
  <r>
    <x v="291"/>
    <x v="1"/>
    <n v="2"/>
    <n v="345.01"/>
    <s v="670 Main St"/>
    <s v="Credit Card"/>
    <s v="Delivered"/>
    <s v="TRK93676567"/>
    <n v="6"/>
    <s v="FREESHIP"/>
    <x v="4"/>
    <n v="690.02"/>
  </r>
  <r>
    <x v="292"/>
    <x v="0"/>
    <n v="1"/>
    <n v="65.95"/>
    <s v="185 Main St"/>
    <s v="Credit Card"/>
    <s v="Delivered"/>
    <s v="TRK31042152"/>
    <n v="5"/>
    <s v="NA"/>
    <x v="3"/>
    <n v="65.95"/>
  </r>
  <r>
    <x v="293"/>
    <x v="2"/>
    <n v="4"/>
    <n v="463.04"/>
    <s v="564 Main St"/>
    <s v="Gift Card"/>
    <s v="Returned"/>
    <s v="TRK40450219"/>
    <n v="9"/>
    <s v="NA"/>
    <x v="0"/>
    <n v="1852.16"/>
  </r>
  <r>
    <x v="294"/>
    <x v="1"/>
    <n v="2"/>
    <n v="297.70999999999998"/>
    <s v="208 Main St"/>
    <s v="Online"/>
    <s v="Shipped"/>
    <s v="TRK67562517"/>
    <n v="7"/>
    <s v="SAVE10"/>
    <x v="1"/>
    <n v="595.41999999999996"/>
  </r>
  <r>
    <x v="295"/>
    <x v="4"/>
    <n v="5"/>
    <n v="107.48"/>
    <s v="278 Main St"/>
    <s v="Debit Card"/>
    <s v="Cancelled"/>
    <s v="TRK46285799"/>
    <n v="9"/>
    <s v="FREESHIP"/>
    <x v="2"/>
    <n v="537.4"/>
  </r>
  <r>
    <x v="296"/>
    <x v="6"/>
    <n v="5"/>
    <n v="638.79999999999995"/>
    <s v="434 Main St"/>
    <s v="Debit Card"/>
    <s v="Cancelled"/>
    <s v="TRK52110494"/>
    <n v="10"/>
    <s v="WINTER15"/>
    <x v="1"/>
    <n v="3194"/>
  </r>
  <r>
    <x v="297"/>
    <x v="6"/>
    <n v="2"/>
    <n v="493.88"/>
    <s v="252 Main St"/>
    <s v="Credit Card"/>
    <s v="Returned"/>
    <s v="TRK64862812"/>
    <n v="7"/>
    <s v="SAVE10"/>
    <x v="0"/>
    <n v="987.76"/>
  </r>
  <r>
    <x v="298"/>
    <x v="4"/>
    <n v="4"/>
    <n v="301.17"/>
    <s v="267 Main St"/>
    <s v="Online"/>
    <s v="Cancelled"/>
    <s v="TRK97825212"/>
    <n v="6"/>
    <s v="NA"/>
    <x v="2"/>
    <n v="1204.68"/>
  </r>
  <r>
    <x v="299"/>
    <x v="0"/>
    <n v="1"/>
    <n v="278.66000000000003"/>
    <s v="856 Main St"/>
    <s v="Gift Card"/>
    <s v="Cancelled"/>
    <s v="TRK42696593"/>
    <n v="2"/>
    <s v="FREESHIP"/>
    <x v="0"/>
    <n v="278.66000000000003"/>
  </r>
  <r>
    <x v="300"/>
    <x v="1"/>
    <n v="1"/>
    <n v="287.45999999999998"/>
    <s v="894 Main St"/>
    <s v="Debit Card"/>
    <s v="Returned"/>
    <s v="TRK33753945"/>
    <n v="3"/>
    <s v="FREESHIP"/>
    <x v="3"/>
    <n v="287.45999999999998"/>
  </r>
  <r>
    <x v="301"/>
    <x v="3"/>
    <n v="1"/>
    <n v="583.99"/>
    <s v="726 Main St"/>
    <s v="Cash"/>
    <s v="Cancelled"/>
    <s v="TRK40149095"/>
    <n v="2"/>
    <s v="SAVE10"/>
    <x v="2"/>
    <n v="583.99"/>
  </r>
  <r>
    <x v="302"/>
    <x v="3"/>
    <n v="3"/>
    <n v="468.74"/>
    <s v="121 Main St"/>
    <s v="Cash"/>
    <s v="Pending"/>
    <s v="TRK44142517"/>
    <n v="4"/>
    <s v="FREESHIP"/>
    <x v="0"/>
    <n v="1406.22"/>
  </r>
  <r>
    <x v="303"/>
    <x v="2"/>
    <n v="1"/>
    <n v="30.54"/>
    <s v="368 Main St"/>
    <s v="Debit Card"/>
    <s v="Returned"/>
    <s v="TRK95462192"/>
    <n v="1"/>
    <s v="NA"/>
    <x v="4"/>
    <n v="30.54"/>
  </r>
  <r>
    <x v="304"/>
    <x v="0"/>
    <n v="5"/>
    <n v="408.73"/>
    <s v="326 Main St"/>
    <s v="Gift Card"/>
    <s v="Delivered"/>
    <s v="TRK75686292"/>
    <n v="10"/>
    <s v="FREESHIP"/>
    <x v="0"/>
    <n v="2043.65"/>
  </r>
  <r>
    <x v="305"/>
    <x v="5"/>
    <n v="4"/>
    <n v="126.89"/>
    <s v="235 Main St"/>
    <s v="Cash"/>
    <s v="Pending"/>
    <s v="TRK59353216"/>
    <n v="9"/>
    <s v="FREESHIP"/>
    <x v="0"/>
    <n v="507.56"/>
  </r>
  <r>
    <x v="306"/>
    <x v="4"/>
    <n v="2"/>
    <n v="57.07"/>
    <s v="238 Main St"/>
    <s v="Debit Card"/>
    <s v="Returned"/>
    <s v="TRK65511225"/>
    <n v="3"/>
    <s v="SAVE10"/>
    <x v="0"/>
    <n v="114.14"/>
  </r>
  <r>
    <x v="307"/>
    <x v="5"/>
    <n v="3"/>
    <n v="557.41"/>
    <s v="135 Main St"/>
    <s v="Online"/>
    <s v="Delivered"/>
    <s v="TRK11755610"/>
    <n v="4"/>
    <s v="NA"/>
    <x v="2"/>
    <n v="1672.23"/>
  </r>
  <r>
    <x v="308"/>
    <x v="4"/>
    <n v="3"/>
    <n v="448.9"/>
    <s v="790 Main St"/>
    <s v="Debit Card"/>
    <s v="Returned"/>
    <s v="TRK98467398"/>
    <n v="7"/>
    <s v="SAVE10"/>
    <x v="0"/>
    <n v="1346.7"/>
  </r>
  <r>
    <x v="309"/>
    <x v="3"/>
    <n v="4"/>
    <n v="549.76"/>
    <s v="625 Main St"/>
    <s v="Debit Card"/>
    <s v="Delivered"/>
    <s v="TRK38033305"/>
    <n v="4"/>
    <s v="FREESHIP"/>
    <x v="3"/>
    <n v="2199.04"/>
  </r>
  <r>
    <x v="310"/>
    <x v="4"/>
    <n v="3"/>
    <n v="132.47999999999999"/>
    <s v="968 Main St"/>
    <s v="Online"/>
    <s v="Shipped"/>
    <s v="TRK16094218"/>
    <n v="4"/>
    <s v="NA"/>
    <x v="1"/>
    <n v="397.43999999999988"/>
  </r>
  <r>
    <x v="311"/>
    <x v="6"/>
    <n v="5"/>
    <n v="489.37"/>
    <s v="274 Main St"/>
    <s v="Online"/>
    <s v="Returned"/>
    <s v="TRK34786818"/>
    <n v="8"/>
    <s v="NA"/>
    <x v="0"/>
    <n v="2446.85"/>
  </r>
  <r>
    <x v="312"/>
    <x v="4"/>
    <n v="5"/>
    <n v="66.31"/>
    <s v="579 Main St"/>
    <s v="Gift Card"/>
    <s v="Pending"/>
    <s v="TRK64742535"/>
    <n v="7"/>
    <s v="FREESHIP"/>
    <x v="1"/>
    <n v="331.55"/>
  </r>
  <r>
    <x v="313"/>
    <x v="3"/>
    <n v="2"/>
    <n v="434.3"/>
    <s v="978 Main St"/>
    <s v="Cash"/>
    <s v="Delivered"/>
    <s v="TRK22838735"/>
    <n v="7"/>
    <s v="SAVE10"/>
    <x v="0"/>
    <n v="868.6"/>
  </r>
  <r>
    <x v="314"/>
    <x v="6"/>
    <n v="4"/>
    <n v="153.09"/>
    <s v="540 Main St"/>
    <s v="Online"/>
    <s v="Delivered"/>
    <s v="TRK48712417"/>
    <n v="4"/>
    <s v="FREESHIP"/>
    <x v="1"/>
    <n v="612.36"/>
  </r>
  <r>
    <x v="315"/>
    <x v="2"/>
    <n v="5"/>
    <n v="91.67"/>
    <s v="301 Main St"/>
    <s v="Online"/>
    <s v="Cancelled"/>
    <s v="TRK45507090"/>
    <n v="9"/>
    <s v="FREESHIP"/>
    <x v="2"/>
    <n v="458.35"/>
  </r>
  <r>
    <x v="316"/>
    <x v="6"/>
    <n v="4"/>
    <n v="275.27999999999997"/>
    <s v="101 Main St"/>
    <s v="Gift Card"/>
    <s v="Shipped"/>
    <s v="TRK86474559"/>
    <n v="9"/>
    <s v="WINTER15"/>
    <x v="3"/>
    <n v="1101.1199999999999"/>
  </r>
  <r>
    <x v="317"/>
    <x v="0"/>
    <n v="2"/>
    <n v="139.94999999999999"/>
    <s v="339 Main St"/>
    <s v="Online"/>
    <s v="Returned"/>
    <s v="TRK22575151"/>
    <n v="5"/>
    <s v="NA"/>
    <x v="0"/>
    <n v="279.89999999999998"/>
  </r>
  <r>
    <x v="318"/>
    <x v="3"/>
    <n v="3"/>
    <n v="148.72"/>
    <s v="317 Main St"/>
    <s v="Debit Card"/>
    <s v="Cancelled"/>
    <s v="TRK95706967"/>
    <n v="7"/>
    <s v="SAVE10"/>
    <x v="4"/>
    <n v="446.16"/>
  </r>
  <r>
    <x v="319"/>
    <x v="5"/>
    <n v="2"/>
    <n v="563.05999999999995"/>
    <s v="413 Main St"/>
    <s v="Cash"/>
    <s v="Returned"/>
    <s v="TRK48974907"/>
    <n v="6"/>
    <s v="NA"/>
    <x v="0"/>
    <n v="1126.1199999999999"/>
  </r>
  <r>
    <x v="320"/>
    <x v="4"/>
    <n v="1"/>
    <n v="625.51"/>
    <s v="772 Main St"/>
    <s v="Credit Card"/>
    <s v="Shipped"/>
    <s v="TRK48792951"/>
    <n v="1"/>
    <s v="FREESHIP"/>
    <x v="3"/>
    <n v="625.51"/>
  </r>
  <r>
    <x v="321"/>
    <x v="1"/>
    <n v="4"/>
    <n v="152.29"/>
    <s v="135 Main St"/>
    <s v="Debit Card"/>
    <s v="Cancelled"/>
    <s v="TRK44194358"/>
    <n v="6"/>
    <s v="WINTER15"/>
    <x v="4"/>
    <n v="609.16"/>
  </r>
  <r>
    <x v="322"/>
    <x v="1"/>
    <n v="5"/>
    <n v="231.82"/>
    <s v="339 Main St"/>
    <s v="Debit Card"/>
    <s v="Delivered"/>
    <s v="TRK18233748"/>
    <n v="6"/>
    <s v="SAVE10"/>
    <x v="3"/>
    <n v="1159.0999999999999"/>
  </r>
  <r>
    <x v="323"/>
    <x v="5"/>
    <n v="1"/>
    <n v="150.16999999999999"/>
    <s v="414 Main St"/>
    <s v="Debit Card"/>
    <s v="Returned"/>
    <s v="TRK63820842"/>
    <n v="1"/>
    <s v="SAVE10"/>
    <x v="1"/>
    <n v="150.16999999999999"/>
  </r>
  <r>
    <x v="324"/>
    <x v="2"/>
    <n v="3"/>
    <n v="70.930000000000007"/>
    <s v="847 Main St"/>
    <s v="Debit Card"/>
    <s v="Returned"/>
    <s v="TRK70193221"/>
    <n v="5"/>
    <s v="NA"/>
    <x v="1"/>
    <n v="212.79"/>
  </r>
  <r>
    <x v="325"/>
    <x v="6"/>
    <n v="3"/>
    <n v="361.39"/>
    <s v="665 Main St"/>
    <s v="Credit Card"/>
    <s v="Shipped"/>
    <s v="TRK61123177"/>
    <n v="8"/>
    <s v="NA"/>
    <x v="1"/>
    <n v="1084.17"/>
  </r>
  <r>
    <x v="326"/>
    <x v="5"/>
    <n v="5"/>
    <n v="670.48"/>
    <s v="273 Main St"/>
    <s v="Gift Card"/>
    <s v="Returned"/>
    <s v="TRK98353867"/>
    <n v="5"/>
    <s v="SAVE10"/>
    <x v="3"/>
    <n v="3352.4"/>
  </r>
  <r>
    <x v="327"/>
    <x v="1"/>
    <n v="1"/>
    <n v="359.99"/>
    <s v="385 Main St"/>
    <s v="Gift Card"/>
    <s v="Cancelled"/>
    <s v="TRK43940016"/>
    <n v="5"/>
    <s v="SAVE10"/>
    <x v="2"/>
    <n v="359.99"/>
  </r>
  <r>
    <x v="328"/>
    <x v="2"/>
    <n v="5"/>
    <n v="674.04"/>
    <s v="546 Main St"/>
    <s v="Online"/>
    <s v="Cancelled"/>
    <s v="TRK89401624"/>
    <n v="7"/>
    <s v="SAVE10"/>
    <x v="4"/>
    <n v="3370.2"/>
  </r>
  <r>
    <x v="329"/>
    <x v="3"/>
    <n v="4"/>
    <n v="283.16000000000003"/>
    <s v="306 Main St"/>
    <s v="Credit Card"/>
    <s v="Shipped"/>
    <s v="TRK63224811"/>
    <n v="6"/>
    <s v="NA"/>
    <x v="4"/>
    <n v="1132.6400000000001"/>
  </r>
  <r>
    <x v="330"/>
    <x v="6"/>
    <n v="5"/>
    <n v="260.52999999999997"/>
    <s v="532 Main St"/>
    <s v="Gift Card"/>
    <s v="Pending"/>
    <s v="TRK54059198"/>
    <n v="5"/>
    <s v="SAVE10"/>
    <x v="0"/>
    <n v="1302.6500000000001"/>
  </r>
  <r>
    <x v="331"/>
    <x v="4"/>
    <n v="3"/>
    <n v="422.13"/>
    <s v="187 Main St"/>
    <s v="Online"/>
    <s v="Delivered"/>
    <s v="TRK25703134"/>
    <n v="7"/>
    <s v="SAVE10"/>
    <x v="3"/>
    <n v="1266.3900000000001"/>
  </r>
  <r>
    <x v="332"/>
    <x v="6"/>
    <n v="5"/>
    <n v="125.02"/>
    <s v="607 Main St"/>
    <s v="Debit Card"/>
    <s v="Pending"/>
    <s v="TRK67499316"/>
    <n v="9"/>
    <s v="SAVE10"/>
    <x v="4"/>
    <n v="625.1"/>
  </r>
  <r>
    <x v="333"/>
    <x v="1"/>
    <n v="1"/>
    <n v="198.51"/>
    <s v="818 Main St"/>
    <s v="Credit Card"/>
    <s v="Returned"/>
    <s v="TRK52086740"/>
    <n v="5"/>
    <s v="WINTER15"/>
    <x v="0"/>
    <n v="198.51"/>
  </r>
  <r>
    <x v="334"/>
    <x v="3"/>
    <n v="4"/>
    <n v="224.75"/>
    <s v="728 Main St"/>
    <s v="Online"/>
    <s v="Delivered"/>
    <s v="TRK20635777"/>
    <n v="7"/>
    <s v="WINTER15"/>
    <x v="3"/>
    <n v="899"/>
  </r>
  <r>
    <x v="335"/>
    <x v="2"/>
    <n v="3"/>
    <n v="205.86"/>
    <s v="978 Main St"/>
    <s v="Gift Card"/>
    <s v="Shipped"/>
    <s v="TRK34801199"/>
    <n v="4"/>
    <s v="NA"/>
    <x v="2"/>
    <n v="617.58000000000004"/>
  </r>
  <r>
    <x v="336"/>
    <x v="5"/>
    <n v="1"/>
    <n v="18.2"/>
    <s v="441 Main St"/>
    <s v="Debit Card"/>
    <s v="Pending"/>
    <s v="TRK10143345"/>
    <n v="4"/>
    <s v="SAVE10"/>
    <x v="0"/>
    <n v="18.2"/>
  </r>
  <r>
    <x v="337"/>
    <x v="2"/>
    <n v="3"/>
    <n v="502.77"/>
    <s v="599 Main St"/>
    <s v="Debit Card"/>
    <s v="Returned"/>
    <s v="TRK66980447"/>
    <n v="8"/>
    <s v="WINTER15"/>
    <x v="2"/>
    <n v="1508.31"/>
  </r>
  <r>
    <x v="338"/>
    <x v="1"/>
    <n v="5"/>
    <n v="305.49"/>
    <s v="704 Main St"/>
    <s v="Debit Card"/>
    <s v="Shipped"/>
    <s v="TRK64112352"/>
    <n v="10"/>
    <s v="NA"/>
    <x v="1"/>
    <n v="1527.45"/>
  </r>
  <r>
    <x v="339"/>
    <x v="4"/>
    <n v="2"/>
    <n v="236.33"/>
    <s v="398 Main St"/>
    <s v="Online"/>
    <s v="Pending"/>
    <s v="TRK62422797"/>
    <n v="3"/>
    <s v="SAVE10"/>
    <x v="0"/>
    <n v="472.66"/>
  </r>
  <r>
    <x v="340"/>
    <x v="5"/>
    <n v="5"/>
    <n v="521.25"/>
    <s v="826 Main St"/>
    <s v="Cash"/>
    <s v="Cancelled"/>
    <s v="TRK25569378"/>
    <n v="8"/>
    <s v="NA"/>
    <x v="2"/>
    <n v="2606.25"/>
  </r>
  <r>
    <x v="341"/>
    <x v="2"/>
    <n v="1"/>
    <n v="167.15"/>
    <s v="293 Main St"/>
    <s v="Gift Card"/>
    <s v="Shipped"/>
    <s v="TRK61357272"/>
    <n v="5"/>
    <s v="WINTER15"/>
    <x v="2"/>
    <n v="167.15"/>
  </r>
  <r>
    <x v="342"/>
    <x v="0"/>
    <n v="5"/>
    <n v="466.42"/>
    <s v="619 Main St"/>
    <s v="Gift Card"/>
    <s v="Returned"/>
    <s v="TRK95935805"/>
    <n v="5"/>
    <s v="NA"/>
    <x v="1"/>
    <n v="2332.1"/>
  </r>
  <r>
    <x v="343"/>
    <x v="4"/>
    <n v="1"/>
    <n v="527.57000000000005"/>
    <s v="919 Main St"/>
    <s v="Debit Card"/>
    <s v="Pending"/>
    <s v="TRK64087938"/>
    <n v="3"/>
    <s v="FREESHIP"/>
    <x v="3"/>
    <n v="527.57000000000005"/>
  </r>
  <r>
    <x v="344"/>
    <x v="2"/>
    <n v="3"/>
    <n v="623.34"/>
    <s v="248 Main St"/>
    <s v="Online"/>
    <s v="Cancelled"/>
    <s v="TRK67558189"/>
    <n v="3"/>
    <s v="SAVE10"/>
    <x v="0"/>
    <n v="1870.02"/>
  </r>
  <r>
    <x v="345"/>
    <x v="2"/>
    <n v="5"/>
    <n v="501.26"/>
    <s v="259 Main St"/>
    <s v="Gift Card"/>
    <s v="Shipped"/>
    <s v="TRK37285406"/>
    <n v="10"/>
    <s v="FREESHIP"/>
    <x v="1"/>
    <n v="2506.3000000000002"/>
  </r>
  <r>
    <x v="346"/>
    <x v="2"/>
    <n v="1"/>
    <n v="655.09"/>
    <s v="876 Main St"/>
    <s v="Cash"/>
    <s v="Pending"/>
    <s v="TRK44680433"/>
    <n v="6"/>
    <s v="NA"/>
    <x v="1"/>
    <n v="655.09"/>
  </r>
  <r>
    <x v="347"/>
    <x v="4"/>
    <n v="4"/>
    <n v="264.79000000000002"/>
    <s v="380 Main St"/>
    <s v="Credit Card"/>
    <s v="Pending"/>
    <s v="TRK21109187"/>
    <n v="5"/>
    <s v="SAVE10"/>
    <x v="4"/>
    <n v="1059.1600000000001"/>
  </r>
  <r>
    <x v="348"/>
    <x v="5"/>
    <n v="3"/>
    <n v="359.73"/>
    <s v="885 Main St"/>
    <s v="Debit Card"/>
    <s v="Returned"/>
    <s v="TRK72633998"/>
    <n v="7"/>
    <s v="FREESHIP"/>
    <x v="2"/>
    <n v="1079.19"/>
  </r>
  <r>
    <x v="349"/>
    <x v="3"/>
    <n v="1"/>
    <n v="465.33"/>
    <s v="824 Main St"/>
    <s v="Gift Card"/>
    <s v="Delivered"/>
    <s v="TRK56016905"/>
    <n v="2"/>
    <s v="FREESHIP"/>
    <x v="4"/>
    <n v="465.33"/>
  </r>
  <r>
    <x v="350"/>
    <x v="3"/>
    <n v="2"/>
    <n v="54.41"/>
    <s v="495 Main St"/>
    <s v="Online"/>
    <s v="Shipped"/>
    <s v="TRK60127216"/>
    <n v="6"/>
    <s v="NA"/>
    <x v="0"/>
    <n v="108.82"/>
  </r>
  <r>
    <x v="351"/>
    <x v="5"/>
    <n v="1"/>
    <n v="64.66"/>
    <s v="494 Main St"/>
    <s v="Debit Card"/>
    <s v="Delivered"/>
    <s v="TRK89406816"/>
    <n v="4"/>
    <s v="NA"/>
    <x v="0"/>
    <n v="64.66"/>
  </r>
  <r>
    <x v="352"/>
    <x v="3"/>
    <n v="5"/>
    <n v="173.96"/>
    <s v="995 Main St"/>
    <s v="Debit Card"/>
    <s v="Pending"/>
    <s v="TRK59546992"/>
    <n v="8"/>
    <s v="WINTER15"/>
    <x v="0"/>
    <n v="869.80000000000007"/>
  </r>
  <r>
    <x v="353"/>
    <x v="2"/>
    <n v="1"/>
    <n v="630.82000000000005"/>
    <s v="171 Main St"/>
    <s v="Online"/>
    <s v="Delivered"/>
    <s v="TRK15195225"/>
    <n v="5"/>
    <s v="FREESHIP"/>
    <x v="4"/>
    <n v="630.82000000000005"/>
  </r>
  <r>
    <x v="354"/>
    <x v="1"/>
    <n v="1"/>
    <n v="693.41"/>
    <s v="992 Main St"/>
    <s v="Debit Card"/>
    <s v="Shipped"/>
    <s v="TRK11970357"/>
    <n v="4"/>
    <s v="NA"/>
    <x v="0"/>
    <n v="693.41"/>
  </r>
  <r>
    <x v="355"/>
    <x v="2"/>
    <n v="3"/>
    <n v="433.33"/>
    <s v="677 Main St"/>
    <s v="Credit Card"/>
    <s v="Cancelled"/>
    <s v="TRK78766533"/>
    <n v="4"/>
    <s v="FREESHIP"/>
    <x v="1"/>
    <n v="1299.99"/>
  </r>
  <r>
    <x v="356"/>
    <x v="4"/>
    <n v="5"/>
    <n v="374.58"/>
    <s v="907 Main St"/>
    <s v="Gift Card"/>
    <s v="Cancelled"/>
    <s v="TRK83889574"/>
    <n v="10"/>
    <s v="FREESHIP"/>
    <x v="0"/>
    <n v="1872.9"/>
  </r>
  <r>
    <x v="357"/>
    <x v="5"/>
    <n v="5"/>
    <n v="408.56"/>
    <s v="398 Main St"/>
    <s v="Debit Card"/>
    <s v="Delivered"/>
    <s v="TRK98700702"/>
    <n v="8"/>
    <s v="FREESHIP"/>
    <x v="0"/>
    <n v="2042.8"/>
  </r>
  <r>
    <x v="358"/>
    <x v="2"/>
    <n v="2"/>
    <n v="183.67"/>
    <s v="747 Main St"/>
    <s v="Online"/>
    <s v="Cancelled"/>
    <s v="TRK82540521"/>
    <n v="3"/>
    <s v="SAVE10"/>
    <x v="4"/>
    <n v="367.34"/>
  </r>
  <r>
    <x v="359"/>
    <x v="6"/>
    <n v="4"/>
    <n v="606.57000000000005"/>
    <s v="303 Main St"/>
    <s v="Debit Card"/>
    <s v="Delivered"/>
    <s v="TRK23286689"/>
    <n v="5"/>
    <s v="WINTER15"/>
    <x v="1"/>
    <n v="2426.2800000000002"/>
  </r>
  <r>
    <x v="360"/>
    <x v="1"/>
    <n v="4"/>
    <n v="589.57000000000005"/>
    <s v="779 Main St"/>
    <s v="Cash"/>
    <s v="Pending"/>
    <s v="TRK34630612"/>
    <n v="8"/>
    <s v="NA"/>
    <x v="0"/>
    <n v="2358.2800000000002"/>
  </r>
  <r>
    <x v="361"/>
    <x v="4"/>
    <n v="5"/>
    <n v="659.85"/>
    <s v="197 Main St"/>
    <s v="Credit Card"/>
    <s v="Delivered"/>
    <s v="TRK32743531"/>
    <n v="9"/>
    <s v="SAVE10"/>
    <x v="3"/>
    <n v="3299.25"/>
  </r>
  <r>
    <x v="362"/>
    <x v="0"/>
    <n v="4"/>
    <n v="206.84"/>
    <s v="312 Main St"/>
    <s v="Cash"/>
    <s v="Cancelled"/>
    <s v="TRK60476656"/>
    <n v="5"/>
    <s v="WINTER15"/>
    <x v="0"/>
    <n v="827.36"/>
  </r>
  <r>
    <x v="363"/>
    <x v="5"/>
    <n v="5"/>
    <n v="113.87"/>
    <s v="871 Main St"/>
    <s v="Credit Card"/>
    <s v="Pending"/>
    <s v="TRK42584392"/>
    <n v="6"/>
    <s v="SAVE10"/>
    <x v="2"/>
    <n v="569.35"/>
  </r>
  <r>
    <x v="364"/>
    <x v="1"/>
    <n v="5"/>
    <n v="628.74"/>
    <s v="740 Main St"/>
    <s v="Cash"/>
    <s v="Cancelled"/>
    <s v="TRK86767206"/>
    <n v="9"/>
    <s v="FREESHIP"/>
    <x v="3"/>
    <n v="3143.7"/>
  </r>
  <r>
    <x v="365"/>
    <x v="1"/>
    <n v="1"/>
    <n v="678.38"/>
    <s v="607 Main St"/>
    <s v="Credit Card"/>
    <s v="Cancelled"/>
    <s v="TRK74263180"/>
    <n v="4"/>
    <s v="SAVE10"/>
    <x v="1"/>
    <n v="678.38"/>
  </r>
  <r>
    <x v="366"/>
    <x v="4"/>
    <n v="3"/>
    <n v="602.24"/>
    <s v="603 Main St"/>
    <s v="Debit Card"/>
    <s v="Pending"/>
    <s v="TRK40630538"/>
    <n v="8"/>
    <s v="NA"/>
    <x v="1"/>
    <n v="1806.72"/>
  </r>
  <r>
    <x v="367"/>
    <x v="5"/>
    <n v="5"/>
    <n v="658.77"/>
    <s v="712 Main St"/>
    <s v="Gift Card"/>
    <s v="Pending"/>
    <s v="TRK82284400"/>
    <n v="10"/>
    <s v="FREESHIP"/>
    <x v="0"/>
    <n v="3293.85"/>
  </r>
  <r>
    <x v="368"/>
    <x v="0"/>
    <n v="3"/>
    <n v="271.02"/>
    <s v="403 Main St"/>
    <s v="Credit Card"/>
    <s v="Cancelled"/>
    <s v="TRK89728869"/>
    <n v="6"/>
    <s v="NA"/>
    <x v="4"/>
    <n v="813.06"/>
  </r>
  <r>
    <x v="369"/>
    <x v="0"/>
    <n v="5"/>
    <n v="375.25"/>
    <s v="216 Main St"/>
    <s v="Gift Card"/>
    <s v="Pending"/>
    <s v="TRK73937402"/>
    <n v="9"/>
    <s v="SAVE10"/>
    <x v="2"/>
    <n v="1876.25"/>
  </r>
  <r>
    <x v="370"/>
    <x v="1"/>
    <n v="1"/>
    <n v="312.11"/>
    <s v="870 Main St"/>
    <s v="Online"/>
    <s v="Cancelled"/>
    <s v="TRK41143313"/>
    <n v="4"/>
    <s v="WINTER15"/>
    <x v="3"/>
    <n v="312.11"/>
  </r>
  <r>
    <x v="371"/>
    <x v="1"/>
    <n v="5"/>
    <n v="307.76"/>
    <s v="179 Main St"/>
    <s v="Gift Card"/>
    <s v="Pending"/>
    <s v="TRK82229639"/>
    <n v="9"/>
    <s v="FREESHIP"/>
    <x v="4"/>
    <n v="1538.8"/>
  </r>
  <r>
    <x v="372"/>
    <x v="3"/>
    <n v="3"/>
    <n v="483.53"/>
    <s v="166 Main St"/>
    <s v="Cash"/>
    <s v="Returned"/>
    <s v="TRK12123939"/>
    <n v="4"/>
    <s v="NA"/>
    <x v="1"/>
    <n v="1450.59"/>
  </r>
  <r>
    <x v="373"/>
    <x v="5"/>
    <n v="3"/>
    <n v="341.15"/>
    <s v="969 Main St"/>
    <s v="Cash"/>
    <s v="Pending"/>
    <s v="TRK84505143"/>
    <n v="4"/>
    <s v="FREESHIP"/>
    <x v="0"/>
    <n v="1023.45"/>
  </r>
  <r>
    <x v="374"/>
    <x v="0"/>
    <n v="1"/>
    <n v="571.9"/>
    <s v="129 Main St"/>
    <s v="Gift Card"/>
    <s v="Pending"/>
    <s v="TRK67648338"/>
    <n v="1"/>
    <s v="WINTER15"/>
    <x v="0"/>
    <n v="571.9"/>
  </r>
  <r>
    <x v="375"/>
    <x v="0"/>
    <n v="4"/>
    <n v="95.03"/>
    <s v="400 Main St"/>
    <s v="Online"/>
    <s v="Shipped"/>
    <s v="TRK71027262"/>
    <n v="8"/>
    <s v="FREESHIP"/>
    <x v="3"/>
    <n v="380.12"/>
  </r>
  <r>
    <x v="376"/>
    <x v="0"/>
    <n v="5"/>
    <n v="201.22"/>
    <s v="341 Main St"/>
    <s v="Debit Card"/>
    <s v="Pending"/>
    <s v="TRK20788231"/>
    <n v="6"/>
    <s v="FREESHIP"/>
    <x v="3"/>
    <n v="1006.1"/>
  </r>
  <r>
    <x v="377"/>
    <x v="0"/>
    <n v="1"/>
    <n v="260.26"/>
    <s v="625 Main St"/>
    <s v="Online"/>
    <s v="Pending"/>
    <s v="TRK44538419"/>
    <n v="5"/>
    <s v="WINTER15"/>
    <x v="0"/>
    <n v="260.26"/>
  </r>
  <r>
    <x v="378"/>
    <x v="3"/>
    <n v="5"/>
    <n v="64.5"/>
    <s v="148 Main St"/>
    <s v="Credit Card"/>
    <s v="Pending"/>
    <s v="TRK91029390"/>
    <n v="8"/>
    <s v="WINTER15"/>
    <x v="0"/>
    <n v="322.5"/>
  </r>
  <r>
    <x v="379"/>
    <x v="1"/>
    <n v="3"/>
    <n v="297.67"/>
    <s v="500 Main St"/>
    <s v="Online"/>
    <s v="Shipped"/>
    <s v="TRK85756094"/>
    <n v="6"/>
    <s v="NA"/>
    <x v="4"/>
    <n v="893.01"/>
  </r>
  <r>
    <x v="380"/>
    <x v="4"/>
    <n v="4"/>
    <n v="331.9"/>
    <s v="127 Main St"/>
    <s v="Cash"/>
    <s v="Pending"/>
    <s v="TRK52935059"/>
    <n v="5"/>
    <s v="SAVE10"/>
    <x v="0"/>
    <n v="1327.6"/>
  </r>
  <r>
    <x v="381"/>
    <x v="3"/>
    <n v="1"/>
    <n v="191.76"/>
    <s v="223 Main St"/>
    <s v="Credit Card"/>
    <s v="Returned"/>
    <s v="TRK98103385"/>
    <n v="1"/>
    <s v="FREESHIP"/>
    <x v="0"/>
    <n v="191.76"/>
  </r>
  <r>
    <x v="382"/>
    <x v="4"/>
    <n v="4"/>
    <n v="263.08999999999997"/>
    <s v="272 Main St"/>
    <s v="Debit Card"/>
    <s v="Shipped"/>
    <s v="TRK91702525"/>
    <n v="8"/>
    <s v="SAVE10"/>
    <x v="4"/>
    <n v="1052.3599999999999"/>
  </r>
  <r>
    <x v="383"/>
    <x v="3"/>
    <n v="4"/>
    <n v="393.8"/>
    <s v="837 Main St"/>
    <s v="Credit Card"/>
    <s v="Pending"/>
    <s v="TRK45275439"/>
    <n v="7"/>
    <s v="SAVE10"/>
    <x v="2"/>
    <n v="1575.2"/>
  </r>
  <r>
    <x v="384"/>
    <x v="3"/>
    <n v="3"/>
    <n v="553.57000000000005"/>
    <s v="147 Main St"/>
    <s v="Credit Card"/>
    <s v="Returned"/>
    <s v="TRK45688220"/>
    <n v="4"/>
    <s v="FREESHIP"/>
    <x v="3"/>
    <n v="1660.71"/>
  </r>
  <r>
    <x v="385"/>
    <x v="3"/>
    <n v="5"/>
    <n v="191.63"/>
    <s v="752 Main St"/>
    <s v="Gift Card"/>
    <s v="Delivered"/>
    <s v="TRK65290904"/>
    <n v="6"/>
    <s v="FREESHIP"/>
    <x v="3"/>
    <n v="958.15"/>
  </r>
  <r>
    <x v="386"/>
    <x v="2"/>
    <n v="1"/>
    <n v="93.02"/>
    <s v="373 Main St"/>
    <s v="Online"/>
    <s v="Returned"/>
    <s v="TRK32588504"/>
    <n v="4"/>
    <s v="NA"/>
    <x v="2"/>
    <n v="93.02"/>
  </r>
  <r>
    <x v="387"/>
    <x v="4"/>
    <n v="2"/>
    <n v="39.53"/>
    <s v="904 Main St"/>
    <s v="Credit Card"/>
    <s v="Shipped"/>
    <s v="TRK55423551"/>
    <n v="3"/>
    <s v="WINTER15"/>
    <x v="4"/>
    <n v="79.06"/>
  </r>
  <r>
    <x v="388"/>
    <x v="4"/>
    <n v="3"/>
    <n v="633.97"/>
    <s v="152 Main St"/>
    <s v="Cash"/>
    <s v="Pending"/>
    <s v="TRK49157047"/>
    <n v="7"/>
    <s v="WINTER15"/>
    <x v="3"/>
    <n v="1901.91"/>
  </r>
  <r>
    <x v="389"/>
    <x v="6"/>
    <n v="4"/>
    <n v="697.5"/>
    <s v="558 Main St"/>
    <s v="Cash"/>
    <s v="Shipped"/>
    <s v="TRK40543461"/>
    <n v="7"/>
    <s v="FREESHIP"/>
    <x v="1"/>
    <n v="2790"/>
  </r>
  <r>
    <x v="390"/>
    <x v="4"/>
    <n v="5"/>
    <n v="508.69"/>
    <s v="885 Main St"/>
    <s v="Cash"/>
    <s v="Delivered"/>
    <s v="TRK30547638"/>
    <n v="10"/>
    <s v="FREESHIP"/>
    <x v="4"/>
    <n v="2543.4499999999998"/>
  </r>
  <r>
    <x v="391"/>
    <x v="5"/>
    <n v="2"/>
    <n v="527.46"/>
    <s v="516 Main St"/>
    <s v="Debit Card"/>
    <s v="Cancelled"/>
    <s v="TRK82009557"/>
    <n v="3"/>
    <s v="FREESHIP"/>
    <x v="1"/>
    <n v="1054.92"/>
  </r>
  <r>
    <x v="392"/>
    <x v="1"/>
    <n v="1"/>
    <n v="627.20000000000005"/>
    <s v="197 Main St"/>
    <s v="Online"/>
    <s v="Delivered"/>
    <s v="TRK47366265"/>
    <n v="1"/>
    <s v="WINTER15"/>
    <x v="2"/>
    <n v="627.20000000000005"/>
  </r>
  <r>
    <x v="393"/>
    <x v="4"/>
    <n v="1"/>
    <n v="75.010000000000005"/>
    <s v="921 Main St"/>
    <s v="Credit Card"/>
    <s v="Returned"/>
    <s v="TRK24632134"/>
    <n v="3"/>
    <s v="NA"/>
    <x v="4"/>
    <n v="75.010000000000005"/>
  </r>
  <r>
    <x v="394"/>
    <x v="6"/>
    <n v="5"/>
    <n v="529.54999999999995"/>
    <s v="359 Main St"/>
    <s v="Gift Card"/>
    <s v="Shipped"/>
    <s v="TRK34848650"/>
    <n v="10"/>
    <s v="NA"/>
    <x v="3"/>
    <n v="2647.75"/>
  </r>
  <r>
    <x v="395"/>
    <x v="1"/>
    <n v="3"/>
    <n v="127.41"/>
    <s v="830 Main St"/>
    <s v="Gift Card"/>
    <s v="Delivered"/>
    <s v="TRK35386084"/>
    <n v="7"/>
    <s v="SAVE10"/>
    <x v="1"/>
    <n v="382.23"/>
  </r>
  <r>
    <x v="396"/>
    <x v="2"/>
    <n v="5"/>
    <n v="287.13"/>
    <s v="778 Main St"/>
    <s v="Online"/>
    <s v="Shipped"/>
    <s v="TRK82004594"/>
    <n v="10"/>
    <s v="SAVE10"/>
    <x v="2"/>
    <n v="1435.65"/>
  </r>
  <r>
    <x v="397"/>
    <x v="0"/>
    <n v="1"/>
    <n v="427.06"/>
    <s v="987 Main St"/>
    <s v="Online"/>
    <s v="Cancelled"/>
    <s v="TRK86674704"/>
    <n v="1"/>
    <s v="WINTER15"/>
    <x v="1"/>
    <n v="427.06"/>
  </r>
  <r>
    <x v="398"/>
    <x v="1"/>
    <n v="5"/>
    <n v="53.93"/>
    <s v="729 Main St"/>
    <s v="Gift Card"/>
    <s v="Shipped"/>
    <s v="TRK98925264"/>
    <n v="7"/>
    <s v="SAVE10"/>
    <x v="0"/>
    <n v="269.64999999999998"/>
  </r>
  <r>
    <x v="399"/>
    <x v="2"/>
    <n v="5"/>
    <n v="423.93"/>
    <s v="319 Main St"/>
    <s v="Debit Card"/>
    <s v="Returned"/>
    <s v="TRK32012588"/>
    <n v="5"/>
    <s v="FREESHIP"/>
    <x v="3"/>
    <n v="2119.65"/>
  </r>
  <r>
    <x v="400"/>
    <x v="6"/>
    <n v="4"/>
    <n v="160.22"/>
    <s v="304 Main St"/>
    <s v="Debit Card"/>
    <s v="Returned"/>
    <s v="TRK60088901"/>
    <n v="9"/>
    <s v="WINTER15"/>
    <x v="0"/>
    <n v="640.88"/>
  </r>
  <r>
    <x v="401"/>
    <x v="4"/>
    <n v="1"/>
    <n v="538.67999999999995"/>
    <s v="197 Main St"/>
    <s v="Debit Card"/>
    <s v="Returned"/>
    <s v="TRK14225465"/>
    <n v="6"/>
    <s v="NA"/>
    <x v="1"/>
    <n v="538.67999999999995"/>
  </r>
  <r>
    <x v="402"/>
    <x v="4"/>
    <n v="5"/>
    <n v="337.38"/>
    <s v="858 Main St"/>
    <s v="Gift Card"/>
    <s v="Shipped"/>
    <s v="TRK79746259"/>
    <n v="5"/>
    <s v="NA"/>
    <x v="1"/>
    <n v="1686.9"/>
  </r>
  <r>
    <x v="403"/>
    <x v="2"/>
    <n v="1"/>
    <n v="620.21"/>
    <s v="740 Main St"/>
    <s v="Online"/>
    <s v="Returned"/>
    <s v="TRK98333066"/>
    <n v="1"/>
    <s v="FREESHIP"/>
    <x v="1"/>
    <n v="620.21"/>
  </r>
  <r>
    <x v="404"/>
    <x v="0"/>
    <n v="2"/>
    <n v="99.1"/>
    <s v="440 Main St"/>
    <s v="Cash"/>
    <s v="Delivered"/>
    <s v="TRK54571699"/>
    <n v="6"/>
    <s v="NA"/>
    <x v="0"/>
    <n v="198.2"/>
  </r>
  <r>
    <x v="405"/>
    <x v="0"/>
    <n v="4"/>
    <n v="451.97"/>
    <s v="603 Main St"/>
    <s v="Online"/>
    <s v="Cancelled"/>
    <s v="TRK64664424"/>
    <n v="7"/>
    <s v="WINTER15"/>
    <x v="2"/>
    <n v="1807.88"/>
  </r>
  <r>
    <x v="406"/>
    <x v="2"/>
    <n v="4"/>
    <n v="66.099999999999994"/>
    <s v="572 Main St"/>
    <s v="Cash"/>
    <s v="Returned"/>
    <s v="TRK50284486"/>
    <n v="9"/>
    <s v="WINTER15"/>
    <x v="4"/>
    <n v="264.39999999999998"/>
  </r>
  <r>
    <x v="407"/>
    <x v="2"/>
    <n v="4"/>
    <n v="547.32000000000005"/>
    <s v="250 Main St"/>
    <s v="Cash"/>
    <s v="Returned"/>
    <s v="TRK72547640"/>
    <n v="8"/>
    <s v="FREESHIP"/>
    <x v="0"/>
    <n v="2189.2800000000002"/>
  </r>
  <r>
    <x v="408"/>
    <x v="4"/>
    <n v="3"/>
    <n v="412.53"/>
    <s v="536 Main St"/>
    <s v="Online"/>
    <s v="Pending"/>
    <s v="TRK31140158"/>
    <n v="6"/>
    <s v="WINTER15"/>
    <x v="4"/>
    <n v="1237.5899999999999"/>
  </r>
  <r>
    <x v="409"/>
    <x v="6"/>
    <n v="5"/>
    <n v="84.13"/>
    <s v="767 Main St"/>
    <s v="Online"/>
    <s v="Delivered"/>
    <s v="TRK12320793"/>
    <n v="9"/>
    <s v="SAVE10"/>
    <x v="4"/>
    <n v="420.65"/>
  </r>
  <r>
    <x v="410"/>
    <x v="2"/>
    <n v="2"/>
    <n v="518.23"/>
    <s v="184 Main St"/>
    <s v="Debit Card"/>
    <s v="Shipped"/>
    <s v="TRK52470162"/>
    <n v="5"/>
    <s v="NA"/>
    <x v="2"/>
    <n v="1036.46"/>
  </r>
  <r>
    <x v="411"/>
    <x v="6"/>
    <n v="2"/>
    <n v="39.51"/>
    <s v="981 Main St"/>
    <s v="Online"/>
    <s v="Shipped"/>
    <s v="TRK21174822"/>
    <n v="5"/>
    <s v="NA"/>
    <x v="3"/>
    <n v="79.02"/>
  </r>
  <r>
    <x v="412"/>
    <x v="2"/>
    <n v="5"/>
    <n v="133.01"/>
    <s v="246 Main St"/>
    <s v="Credit Card"/>
    <s v="Returned"/>
    <s v="TRK31313343"/>
    <n v="10"/>
    <s v="NA"/>
    <x v="3"/>
    <n v="665.05"/>
  </r>
  <r>
    <x v="413"/>
    <x v="2"/>
    <n v="1"/>
    <n v="118.8"/>
    <s v="123 Main St"/>
    <s v="Online"/>
    <s v="Delivered"/>
    <s v="TRK87598790"/>
    <n v="6"/>
    <s v="SAVE10"/>
    <x v="2"/>
    <n v="118.8"/>
  </r>
  <r>
    <x v="414"/>
    <x v="6"/>
    <n v="2"/>
    <n v="139.57"/>
    <s v="797 Main St"/>
    <s v="Cash"/>
    <s v="Delivered"/>
    <s v="TRK84229257"/>
    <n v="4"/>
    <s v="WINTER15"/>
    <x v="3"/>
    <n v="279.14"/>
  </r>
  <r>
    <x v="415"/>
    <x v="3"/>
    <n v="1"/>
    <n v="184.15"/>
    <s v="655 Main St"/>
    <s v="Gift Card"/>
    <s v="Shipped"/>
    <s v="TRK64558985"/>
    <n v="5"/>
    <s v="FREESHIP"/>
    <x v="3"/>
    <n v="184.15"/>
  </r>
  <r>
    <x v="416"/>
    <x v="5"/>
    <n v="2"/>
    <n v="644.04999999999995"/>
    <s v="652 Main St"/>
    <s v="Gift Card"/>
    <s v="Cancelled"/>
    <s v="TRK26263902"/>
    <n v="5"/>
    <s v="WINTER15"/>
    <x v="1"/>
    <n v="1288.0999999999999"/>
  </r>
  <r>
    <x v="417"/>
    <x v="5"/>
    <n v="5"/>
    <n v="55.41"/>
    <s v="954 Main St"/>
    <s v="Online"/>
    <s v="Cancelled"/>
    <s v="TRK51429869"/>
    <n v="5"/>
    <s v="NA"/>
    <x v="4"/>
    <n v="277.05"/>
  </r>
  <r>
    <x v="418"/>
    <x v="4"/>
    <n v="1"/>
    <n v="310.93"/>
    <s v="862 Main St"/>
    <s v="Online"/>
    <s v="Cancelled"/>
    <s v="TRK66144809"/>
    <n v="3"/>
    <s v="NA"/>
    <x v="3"/>
    <n v="310.93"/>
  </r>
  <r>
    <x v="419"/>
    <x v="2"/>
    <n v="2"/>
    <n v="216.66"/>
    <s v="885 Main St"/>
    <s v="Debit Card"/>
    <s v="Pending"/>
    <s v="TRK75644156"/>
    <n v="6"/>
    <s v="FREESHIP"/>
    <x v="0"/>
    <n v="433.32"/>
  </r>
  <r>
    <x v="420"/>
    <x v="1"/>
    <n v="1"/>
    <n v="452.7"/>
    <s v="439 Main St"/>
    <s v="Debit Card"/>
    <s v="Shipped"/>
    <s v="TRK91362635"/>
    <n v="5"/>
    <s v="FREESHIP"/>
    <x v="0"/>
    <n v="452.7"/>
  </r>
  <r>
    <x v="421"/>
    <x v="3"/>
    <n v="2"/>
    <n v="288.20999999999998"/>
    <s v="769 Main St"/>
    <s v="Debit Card"/>
    <s v="Cancelled"/>
    <s v="TRK53032122"/>
    <n v="5"/>
    <s v="NA"/>
    <x v="2"/>
    <n v="576.41999999999996"/>
  </r>
  <r>
    <x v="422"/>
    <x v="1"/>
    <n v="4"/>
    <n v="206.6"/>
    <s v="914 Main St"/>
    <s v="Gift Card"/>
    <s v="Returned"/>
    <s v="TRK25861469"/>
    <n v="6"/>
    <s v="WINTER15"/>
    <x v="1"/>
    <n v="826.4"/>
  </r>
  <r>
    <x v="423"/>
    <x v="4"/>
    <n v="4"/>
    <n v="685.2"/>
    <s v="195 Main St"/>
    <s v="Gift Card"/>
    <s v="Cancelled"/>
    <s v="TRK97308771"/>
    <n v="6"/>
    <s v="WINTER15"/>
    <x v="4"/>
    <n v="2740.8"/>
  </r>
  <r>
    <x v="424"/>
    <x v="3"/>
    <n v="5"/>
    <n v="22.94"/>
    <s v="339 Main St"/>
    <s v="Cash"/>
    <s v="Pending"/>
    <s v="TRK64012257"/>
    <n v="10"/>
    <s v="NA"/>
    <x v="2"/>
    <n v="114.7"/>
  </r>
  <r>
    <x v="425"/>
    <x v="5"/>
    <n v="2"/>
    <n v="301.88"/>
    <s v="488 Main St"/>
    <s v="Gift Card"/>
    <s v="Returned"/>
    <s v="TRK25325993"/>
    <n v="5"/>
    <s v="WINTER15"/>
    <x v="2"/>
    <n v="603.76"/>
  </r>
  <r>
    <x v="426"/>
    <x v="0"/>
    <n v="5"/>
    <n v="57.45"/>
    <s v="315 Main St"/>
    <s v="Cash"/>
    <s v="Cancelled"/>
    <s v="TRK24839296"/>
    <n v="10"/>
    <s v="NA"/>
    <x v="3"/>
    <n v="287.25"/>
  </r>
  <r>
    <x v="427"/>
    <x v="6"/>
    <n v="1"/>
    <n v="161.24"/>
    <s v="379 Main St"/>
    <s v="Credit Card"/>
    <s v="Pending"/>
    <s v="TRK70952564"/>
    <n v="3"/>
    <s v="WINTER15"/>
    <x v="0"/>
    <n v="161.24"/>
  </r>
  <r>
    <x v="428"/>
    <x v="3"/>
    <n v="4"/>
    <n v="262.58"/>
    <s v="895 Main St"/>
    <s v="Online"/>
    <s v="Cancelled"/>
    <s v="TRK57227640"/>
    <n v="8"/>
    <s v="WINTER15"/>
    <x v="2"/>
    <n v="1050.32"/>
  </r>
  <r>
    <x v="429"/>
    <x v="4"/>
    <n v="4"/>
    <n v="515.19000000000005"/>
    <s v="522 Main St"/>
    <s v="Credit Card"/>
    <s v="Pending"/>
    <s v="TRK90838498"/>
    <n v="9"/>
    <s v="SAVE10"/>
    <x v="3"/>
    <n v="2060.7600000000002"/>
  </r>
  <r>
    <x v="430"/>
    <x v="1"/>
    <n v="1"/>
    <n v="450.07"/>
    <s v="433 Main St"/>
    <s v="Gift Card"/>
    <s v="Shipped"/>
    <s v="TRK44134016"/>
    <n v="6"/>
    <s v="FREESHIP"/>
    <x v="4"/>
    <n v="450.07"/>
  </r>
  <r>
    <x v="431"/>
    <x v="4"/>
    <n v="1"/>
    <n v="52.54"/>
    <s v="651 Main St"/>
    <s v="Debit Card"/>
    <s v="Cancelled"/>
    <s v="TRK59623037"/>
    <n v="6"/>
    <s v="WINTER15"/>
    <x v="3"/>
    <n v="52.54"/>
  </r>
  <r>
    <x v="432"/>
    <x v="2"/>
    <n v="2"/>
    <n v="424.32"/>
    <s v="662 Main St"/>
    <s v="Credit Card"/>
    <s v="Returned"/>
    <s v="TRK77163738"/>
    <n v="6"/>
    <s v="NA"/>
    <x v="1"/>
    <n v="848.64"/>
  </r>
  <r>
    <x v="433"/>
    <x v="0"/>
    <n v="3"/>
    <n v="631.64"/>
    <s v="785 Main St"/>
    <s v="Credit Card"/>
    <s v="Returned"/>
    <s v="TRK13282106"/>
    <n v="3"/>
    <s v="FREESHIP"/>
    <x v="3"/>
    <n v="1894.92"/>
  </r>
  <r>
    <x v="434"/>
    <x v="4"/>
    <n v="5"/>
    <n v="327.68"/>
    <s v="384 Main St"/>
    <s v="Credit Card"/>
    <s v="Returned"/>
    <s v="TRK85939879"/>
    <n v="6"/>
    <s v="NA"/>
    <x v="3"/>
    <n v="1638.4"/>
  </r>
  <r>
    <x v="435"/>
    <x v="4"/>
    <n v="1"/>
    <n v="414.47"/>
    <s v="101 Main St"/>
    <s v="Debit Card"/>
    <s v="Returned"/>
    <s v="TRK97868309"/>
    <n v="3"/>
    <s v="FREESHIP"/>
    <x v="0"/>
    <n v="414.47"/>
  </r>
  <r>
    <x v="436"/>
    <x v="5"/>
    <n v="4"/>
    <n v="221.33"/>
    <s v="651 Main St"/>
    <s v="Online"/>
    <s v="Pending"/>
    <s v="TRK73545796"/>
    <n v="5"/>
    <s v="NA"/>
    <x v="4"/>
    <n v="885.32"/>
  </r>
  <r>
    <x v="437"/>
    <x v="1"/>
    <n v="1"/>
    <n v="512.39"/>
    <s v="955 Main St"/>
    <s v="Online"/>
    <s v="Delivered"/>
    <s v="TRK20863705"/>
    <n v="2"/>
    <s v="FREESHIP"/>
    <x v="0"/>
    <n v="512.39"/>
  </r>
  <r>
    <x v="438"/>
    <x v="2"/>
    <n v="3"/>
    <n v="459.34"/>
    <s v="436 Main St"/>
    <s v="Gift Card"/>
    <s v="Pending"/>
    <s v="TRK27439574"/>
    <n v="3"/>
    <s v="SAVE10"/>
    <x v="0"/>
    <n v="1378.02"/>
  </r>
  <r>
    <x v="439"/>
    <x v="2"/>
    <n v="1"/>
    <n v="146.32"/>
    <s v="321 Main St"/>
    <s v="Online"/>
    <s v="Shipped"/>
    <s v="TRK36260319"/>
    <n v="4"/>
    <s v="WINTER15"/>
    <x v="3"/>
    <n v="146.32"/>
  </r>
  <r>
    <x v="440"/>
    <x v="6"/>
    <n v="4"/>
    <n v="83.6"/>
    <s v="978 Main St"/>
    <s v="Debit Card"/>
    <s v="Pending"/>
    <s v="TRK31727767"/>
    <n v="4"/>
    <s v="SAVE10"/>
    <x v="3"/>
    <n v="334.4"/>
  </r>
  <r>
    <x v="441"/>
    <x v="4"/>
    <n v="2"/>
    <n v="328.54"/>
    <s v="475 Main St"/>
    <s v="Gift Card"/>
    <s v="Returned"/>
    <s v="TRK79466982"/>
    <n v="6"/>
    <s v="FREESHIP"/>
    <x v="2"/>
    <n v="657.08"/>
  </r>
  <r>
    <x v="442"/>
    <x v="3"/>
    <n v="5"/>
    <n v="314.94"/>
    <s v="661 Main St"/>
    <s v="Cash"/>
    <s v="Pending"/>
    <s v="TRK43410829"/>
    <n v="8"/>
    <s v="SAVE10"/>
    <x v="0"/>
    <n v="1574.7"/>
  </r>
  <r>
    <x v="443"/>
    <x v="3"/>
    <n v="2"/>
    <n v="69.64"/>
    <s v="813 Main St"/>
    <s v="Cash"/>
    <s v="Returned"/>
    <s v="TRK58970302"/>
    <n v="6"/>
    <s v="NA"/>
    <x v="3"/>
    <n v="139.28"/>
  </r>
  <r>
    <x v="444"/>
    <x v="4"/>
    <n v="1"/>
    <n v="135.16999999999999"/>
    <s v="585 Main St"/>
    <s v="Online"/>
    <s v="Shipped"/>
    <s v="TRK61882353"/>
    <n v="6"/>
    <s v="FREESHIP"/>
    <x v="0"/>
    <n v="135.16999999999999"/>
  </r>
  <r>
    <x v="445"/>
    <x v="1"/>
    <n v="1"/>
    <n v="487.21"/>
    <s v="227 Main St"/>
    <s v="Cash"/>
    <s v="Delivered"/>
    <s v="TRK31351770"/>
    <n v="3"/>
    <s v="SAVE10"/>
    <x v="1"/>
    <n v="487.21"/>
  </r>
  <r>
    <x v="446"/>
    <x v="5"/>
    <n v="5"/>
    <n v="509.58"/>
    <s v="262 Main St"/>
    <s v="Online"/>
    <s v="Delivered"/>
    <s v="TRK49442402"/>
    <n v="6"/>
    <s v="FREESHIP"/>
    <x v="0"/>
    <n v="2547.9"/>
  </r>
  <r>
    <x v="447"/>
    <x v="4"/>
    <n v="2"/>
    <n v="416.81"/>
    <s v="356 Main St"/>
    <s v="Cash"/>
    <s v="Returned"/>
    <s v="TRK45355655"/>
    <n v="2"/>
    <s v="NA"/>
    <x v="3"/>
    <n v="833.62"/>
  </r>
  <r>
    <x v="448"/>
    <x v="5"/>
    <n v="2"/>
    <n v="160"/>
    <s v="854 Main St"/>
    <s v="Cash"/>
    <s v="Pending"/>
    <s v="TRK12860600"/>
    <n v="4"/>
    <s v="SAVE10"/>
    <x v="0"/>
    <n v="320"/>
  </r>
  <r>
    <x v="449"/>
    <x v="2"/>
    <n v="3"/>
    <n v="253.05"/>
    <s v="286 Main St"/>
    <s v="Online"/>
    <s v="Pending"/>
    <s v="TRK48688724"/>
    <n v="3"/>
    <s v="NA"/>
    <x v="0"/>
    <n v="759.15000000000009"/>
  </r>
  <r>
    <x v="450"/>
    <x v="0"/>
    <n v="5"/>
    <n v="615.1"/>
    <s v="160 Main St"/>
    <s v="Gift Card"/>
    <s v="Returned"/>
    <s v="TRK94023253"/>
    <n v="10"/>
    <s v="WINTER15"/>
    <x v="0"/>
    <n v="3075.5"/>
  </r>
  <r>
    <x v="451"/>
    <x v="0"/>
    <n v="1"/>
    <n v="183.18"/>
    <s v="647 Main St"/>
    <s v="Debit Card"/>
    <s v="Cancelled"/>
    <s v="TRK17501136"/>
    <n v="6"/>
    <s v="SAVE10"/>
    <x v="2"/>
    <n v="183.18"/>
  </r>
  <r>
    <x v="452"/>
    <x v="4"/>
    <n v="1"/>
    <n v="75.78"/>
    <s v="581 Main St"/>
    <s v="Cash"/>
    <s v="Pending"/>
    <s v="TRK20863987"/>
    <n v="5"/>
    <s v="SAVE10"/>
    <x v="4"/>
    <n v="75.78"/>
  </r>
  <r>
    <x v="453"/>
    <x v="2"/>
    <n v="1"/>
    <n v="675.57"/>
    <s v="492 Main St"/>
    <s v="Cash"/>
    <s v="Shipped"/>
    <s v="TRK51241924"/>
    <n v="1"/>
    <s v="WINTER15"/>
    <x v="3"/>
    <n v="675.57"/>
  </r>
  <r>
    <x v="454"/>
    <x v="5"/>
    <n v="1"/>
    <n v="109.29"/>
    <s v="686 Main St"/>
    <s v="Debit Card"/>
    <s v="Cancelled"/>
    <s v="TRK75583042"/>
    <n v="5"/>
    <s v="FREESHIP"/>
    <x v="4"/>
    <n v="109.29"/>
  </r>
  <r>
    <x v="455"/>
    <x v="1"/>
    <n v="1"/>
    <n v="639.83000000000004"/>
    <s v="874 Main St"/>
    <s v="Debit Card"/>
    <s v="Pending"/>
    <s v="TRK32856728"/>
    <n v="2"/>
    <s v="SAVE10"/>
    <x v="1"/>
    <n v="639.83000000000004"/>
  </r>
  <r>
    <x v="456"/>
    <x v="6"/>
    <n v="5"/>
    <n v="62.81"/>
    <s v="259 Main St"/>
    <s v="Credit Card"/>
    <s v="Shipped"/>
    <s v="TRK69089975"/>
    <n v="9"/>
    <s v="SAVE10"/>
    <x v="3"/>
    <n v="314.05"/>
  </r>
  <r>
    <x v="457"/>
    <x v="6"/>
    <n v="4"/>
    <n v="615.83000000000004"/>
    <s v="545 Main St"/>
    <s v="Online"/>
    <s v="Returned"/>
    <s v="TRK67692578"/>
    <n v="4"/>
    <s v="WINTER15"/>
    <x v="0"/>
    <n v="2463.3200000000002"/>
  </r>
  <r>
    <x v="458"/>
    <x v="0"/>
    <n v="4"/>
    <n v="510.58"/>
    <s v="196 Main St"/>
    <s v="Credit Card"/>
    <s v="Returned"/>
    <s v="TRK61946127"/>
    <n v="7"/>
    <s v="WINTER15"/>
    <x v="2"/>
    <n v="2042.32"/>
  </r>
  <r>
    <x v="459"/>
    <x v="6"/>
    <n v="1"/>
    <n v="334.39"/>
    <s v="433 Main St"/>
    <s v="Credit Card"/>
    <s v="Returned"/>
    <s v="TRK39717191"/>
    <n v="2"/>
    <s v="NA"/>
    <x v="0"/>
    <n v="334.39"/>
  </r>
  <r>
    <x v="460"/>
    <x v="5"/>
    <n v="1"/>
    <n v="144.25"/>
    <s v="474 Main St"/>
    <s v="Cash"/>
    <s v="Returned"/>
    <s v="TRK93822942"/>
    <n v="2"/>
    <s v="WINTER15"/>
    <x v="1"/>
    <n v="144.25"/>
  </r>
  <r>
    <x v="461"/>
    <x v="2"/>
    <n v="1"/>
    <n v="401.82"/>
    <s v="407 Main St"/>
    <s v="Credit Card"/>
    <s v="Shipped"/>
    <s v="TRK47776482"/>
    <n v="5"/>
    <s v="FREESHIP"/>
    <x v="4"/>
    <n v="401.82"/>
  </r>
  <r>
    <x v="462"/>
    <x v="1"/>
    <n v="1"/>
    <n v="252.68"/>
    <s v="731 Main St"/>
    <s v="Online"/>
    <s v="Cancelled"/>
    <s v="TRK32796086"/>
    <n v="1"/>
    <s v="NA"/>
    <x v="1"/>
    <n v="252.68"/>
  </r>
  <r>
    <x v="463"/>
    <x v="5"/>
    <n v="5"/>
    <n v="662.78"/>
    <s v="214 Main St"/>
    <s v="Debit Card"/>
    <s v="Shipped"/>
    <s v="TRK14011732"/>
    <n v="9"/>
    <s v="SAVE10"/>
    <x v="0"/>
    <n v="3313.9"/>
  </r>
  <r>
    <x v="464"/>
    <x v="2"/>
    <n v="4"/>
    <n v="434.42"/>
    <s v="739 Main St"/>
    <s v="Online"/>
    <s v="Cancelled"/>
    <s v="TRK71418686"/>
    <n v="6"/>
    <s v="FREESHIP"/>
    <x v="4"/>
    <n v="1737.68"/>
  </r>
  <r>
    <x v="465"/>
    <x v="4"/>
    <n v="5"/>
    <n v="513.49"/>
    <s v="391 Main St"/>
    <s v="Gift Card"/>
    <s v="Cancelled"/>
    <s v="TRK65438300"/>
    <n v="8"/>
    <s v="NA"/>
    <x v="4"/>
    <n v="2567.4499999999998"/>
  </r>
  <r>
    <x v="466"/>
    <x v="1"/>
    <n v="1"/>
    <n v="432.47"/>
    <s v="895 Main St"/>
    <s v="Cash"/>
    <s v="Delivered"/>
    <s v="TRK97829604"/>
    <n v="4"/>
    <s v="FREESHIP"/>
    <x v="1"/>
    <n v="432.47"/>
  </r>
  <r>
    <x v="467"/>
    <x v="6"/>
    <n v="1"/>
    <n v="45.94"/>
    <s v="572 Main St"/>
    <s v="Cash"/>
    <s v="Cancelled"/>
    <s v="TRK44350440"/>
    <n v="2"/>
    <s v="WINTER15"/>
    <x v="2"/>
    <n v="45.94"/>
  </r>
  <r>
    <x v="468"/>
    <x v="1"/>
    <n v="1"/>
    <n v="418.36"/>
    <s v="998 Main St"/>
    <s v="Credit Card"/>
    <s v="Delivered"/>
    <s v="TRK60203957"/>
    <n v="5"/>
    <s v="FREESHIP"/>
    <x v="2"/>
    <n v="418.36"/>
  </r>
  <r>
    <x v="469"/>
    <x v="3"/>
    <n v="5"/>
    <n v="676.98"/>
    <s v="893 Main St"/>
    <s v="Cash"/>
    <s v="Cancelled"/>
    <s v="TRK17254691"/>
    <n v="5"/>
    <s v="NA"/>
    <x v="3"/>
    <n v="3384.9"/>
  </r>
  <r>
    <x v="470"/>
    <x v="2"/>
    <n v="4"/>
    <n v="263.62"/>
    <s v="672 Main St"/>
    <s v="Cash"/>
    <s v="Shipped"/>
    <s v="TRK33538608"/>
    <n v="5"/>
    <s v="SAVE10"/>
    <x v="2"/>
    <n v="1054.48"/>
  </r>
  <r>
    <x v="471"/>
    <x v="6"/>
    <n v="5"/>
    <n v="551.27"/>
    <s v="395 Main St"/>
    <s v="Online"/>
    <s v="Cancelled"/>
    <s v="TRK27625571"/>
    <n v="7"/>
    <s v="FREESHIP"/>
    <x v="1"/>
    <n v="2756.35"/>
  </r>
  <r>
    <x v="472"/>
    <x v="3"/>
    <n v="3"/>
    <n v="508.12"/>
    <s v="796 Main St"/>
    <s v="Credit Card"/>
    <s v="Cancelled"/>
    <s v="TRK86461316"/>
    <n v="8"/>
    <s v="FREESHIP"/>
    <x v="1"/>
    <n v="1524.36"/>
  </r>
  <r>
    <x v="473"/>
    <x v="3"/>
    <n v="2"/>
    <n v="14.93"/>
    <s v="449 Main St"/>
    <s v="Online"/>
    <s v="Shipped"/>
    <s v="TRK71597160"/>
    <n v="4"/>
    <s v="NA"/>
    <x v="3"/>
    <n v="29.86"/>
  </r>
  <r>
    <x v="474"/>
    <x v="4"/>
    <n v="3"/>
    <n v="229.34"/>
    <s v="398 Main St"/>
    <s v="Credit Card"/>
    <s v="Shipped"/>
    <s v="TRK84378003"/>
    <n v="6"/>
    <s v="SAVE10"/>
    <x v="1"/>
    <n v="688.02"/>
  </r>
  <r>
    <x v="475"/>
    <x v="2"/>
    <n v="2"/>
    <n v="438.62"/>
    <s v="363 Main St"/>
    <s v="Cash"/>
    <s v="Cancelled"/>
    <s v="TRK91642337"/>
    <n v="3"/>
    <s v="SAVE10"/>
    <x v="3"/>
    <n v="877.24"/>
  </r>
  <r>
    <x v="476"/>
    <x v="1"/>
    <n v="2"/>
    <n v="513.59"/>
    <s v="867 Main St"/>
    <s v="Online"/>
    <s v="Returned"/>
    <s v="TRK19292184"/>
    <n v="4"/>
    <s v="FREESHIP"/>
    <x v="1"/>
    <n v="1027.18"/>
  </r>
  <r>
    <x v="477"/>
    <x v="1"/>
    <n v="2"/>
    <n v="253.74"/>
    <s v="481 Main St"/>
    <s v="Online"/>
    <s v="Shipped"/>
    <s v="TRK13166044"/>
    <n v="5"/>
    <s v="SAVE10"/>
    <x v="4"/>
    <n v="507.48"/>
  </r>
  <r>
    <x v="478"/>
    <x v="2"/>
    <n v="3"/>
    <n v="62.77"/>
    <s v="914 Main St"/>
    <s v="Gift Card"/>
    <s v="Shipped"/>
    <s v="TRK88544431"/>
    <n v="6"/>
    <s v="FREESHIP"/>
    <x v="1"/>
    <n v="188.31"/>
  </r>
  <r>
    <x v="479"/>
    <x v="0"/>
    <n v="4"/>
    <n v="25.29"/>
    <s v="943 Main St"/>
    <s v="Credit Card"/>
    <s v="Pending"/>
    <s v="TRK21429162"/>
    <n v="8"/>
    <s v="NA"/>
    <x v="4"/>
    <n v="101.16"/>
  </r>
  <r>
    <x v="480"/>
    <x v="3"/>
    <n v="1"/>
    <n v="335.1"/>
    <s v="126 Main St"/>
    <s v="Debit Card"/>
    <s v="Pending"/>
    <s v="TRK93171043"/>
    <n v="6"/>
    <s v="FREESHIP"/>
    <x v="1"/>
    <n v="335.1"/>
  </r>
  <r>
    <x v="481"/>
    <x v="5"/>
    <n v="4"/>
    <n v="484.85"/>
    <s v="317 Main St"/>
    <s v="Debit Card"/>
    <s v="Delivered"/>
    <s v="TRK58653915"/>
    <n v="5"/>
    <s v="WINTER15"/>
    <x v="1"/>
    <n v="1939.4"/>
  </r>
  <r>
    <x v="482"/>
    <x v="0"/>
    <n v="3"/>
    <n v="381.41"/>
    <s v="989 Main St"/>
    <s v="Online"/>
    <s v="Pending"/>
    <s v="TRK22302049"/>
    <n v="6"/>
    <s v="NA"/>
    <x v="0"/>
    <n v="1144.23"/>
  </r>
  <r>
    <x v="483"/>
    <x v="1"/>
    <n v="5"/>
    <n v="347.92"/>
    <s v="982 Main St"/>
    <s v="Cash"/>
    <s v="Pending"/>
    <s v="TRK52743700"/>
    <n v="6"/>
    <s v="WINTER15"/>
    <x v="4"/>
    <n v="1739.6"/>
  </r>
  <r>
    <x v="484"/>
    <x v="3"/>
    <n v="4"/>
    <n v="15.01"/>
    <s v="767 Main St"/>
    <s v="Cash"/>
    <s v="Cancelled"/>
    <s v="TRK90455340"/>
    <n v="6"/>
    <s v="NA"/>
    <x v="3"/>
    <n v="60.04"/>
  </r>
  <r>
    <x v="485"/>
    <x v="3"/>
    <n v="3"/>
    <n v="404.79"/>
    <s v="764 Main St"/>
    <s v="Cash"/>
    <s v="Shipped"/>
    <s v="TRK67679195"/>
    <n v="6"/>
    <s v="SAVE10"/>
    <x v="0"/>
    <n v="1214.3699999999999"/>
  </r>
  <r>
    <x v="486"/>
    <x v="4"/>
    <n v="4"/>
    <n v="611.26"/>
    <s v="558 Main St"/>
    <s v="Cash"/>
    <s v="Shipped"/>
    <s v="TRK75267873"/>
    <n v="5"/>
    <s v="SAVE10"/>
    <x v="1"/>
    <n v="2445.04"/>
  </r>
  <r>
    <x v="487"/>
    <x v="4"/>
    <n v="3"/>
    <n v="346.52"/>
    <s v="211 Main St"/>
    <s v="Credit Card"/>
    <s v="Pending"/>
    <s v="TRK92924852"/>
    <n v="3"/>
    <s v="SAVE10"/>
    <x v="4"/>
    <n v="1039.56"/>
  </r>
  <r>
    <x v="488"/>
    <x v="3"/>
    <n v="1"/>
    <n v="36.65"/>
    <s v="556 Main St"/>
    <s v="Online"/>
    <s v="Cancelled"/>
    <s v="TRK96522994"/>
    <n v="1"/>
    <s v="WINTER15"/>
    <x v="2"/>
    <n v="36.65"/>
  </r>
  <r>
    <x v="489"/>
    <x v="2"/>
    <n v="3"/>
    <n v="149.34"/>
    <s v="589 Main St"/>
    <s v="Gift Card"/>
    <s v="Cancelled"/>
    <s v="TRK85466461"/>
    <n v="7"/>
    <s v="WINTER15"/>
    <x v="2"/>
    <n v="448.02"/>
  </r>
  <r>
    <x v="490"/>
    <x v="3"/>
    <n v="5"/>
    <n v="467.81"/>
    <s v="539 Main St"/>
    <s v="Online"/>
    <s v="Cancelled"/>
    <s v="TRK62785150"/>
    <n v="10"/>
    <s v="NA"/>
    <x v="3"/>
    <n v="2339.0500000000002"/>
  </r>
  <r>
    <x v="491"/>
    <x v="1"/>
    <n v="5"/>
    <n v="420.7"/>
    <s v="481 Main St"/>
    <s v="Cash"/>
    <s v="Pending"/>
    <s v="TRK56423359"/>
    <n v="5"/>
    <s v="WINTER15"/>
    <x v="3"/>
    <n v="2103.5"/>
  </r>
  <r>
    <x v="492"/>
    <x v="5"/>
    <n v="5"/>
    <n v="606.52"/>
    <s v="103 Main St"/>
    <s v="Debit Card"/>
    <s v="Shipped"/>
    <s v="TRK13027036"/>
    <n v="6"/>
    <s v="SAVE10"/>
    <x v="0"/>
    <n v="3032.6"/>
  </r>
  <r>
    <x v="493"/>
    <x v="1"/>
    <n v="1"/>
    <n v="420.26"/>
    <s v="372 Main St"/>
    <s v="Credit Card"/>
    <s v="Pending"/>
    <s v="TRK64135970"/>
    <n v="4"/>
    <s v="FREESHIP"/>
    <x v="3"/>
    <n v="420.26"/>
  </r>
  <r>
    <x v="494"/>
    <x v="5"/>
    <n v="3"/>
    <n v="505.79"/>
    <s v="459 Main St"/>
    <s v="Debit Card"/>
    <s v="Pending"/>
    <s v="TRK63920573"/>
    <n v="3"/>
    <s v="FREESHIP"/>
    <x v="1"/>
    <n v="1517.37"/>
  </r>
  <r>
    <x v="495"/>
    <x v="1"/>
    <n v="4"/>
    <n v="493.73"/>
    <s v="947 Main St"/>
    <s v="Debit Card"/>
    <s v="Pending"/>
    <s v="TRK35730581"/>
    <n v="6"/>
    <s v="SAVE10"/>
    <x v="3"/>
    <n v="1974.92"/>
  </r>
  <r>
    <x v="496"/>
    <x v="4"/>
    <n v="3"/>
    <n v="201.21"/>
    <s v="249 Main St"/>
    <s v="Online"/>
    <s v="Cancelled"/>
    <s v="TRK66129326"/>
    <n v="3"/>
    <s v="SAVE10"/>
    <x v="4"/>
    <n v="603.63"/>
  </r>
  <r>
    <x v="497"/>
    <x v="4"/>
    <n v="3"/>
    <n v="112.29"/>
    <s v="454 Main St"/>
    <s v="Gift Card"/>
    <s v="Shipped"/>
    <s v="TRK77358113"/>
    <n v="6"/>
    <s v="NA"/>
    <x v="4"/>
    <n v="336.87"/>
  </r>
  <r>
    <x v="498"/>
    <x v="2"/>
    <n v="4"/>
    <n v="132.56"/>
    <s v="306 Main St"/>
    <s v="Cash"/>
    <s v="Returned"/>
    <s v="TRK32607173"/>
    <n v="8"/>
    <s v="WINTER15"/>
    <x v="0"/>
    <n v="530.24"/>
  </r>
  <r>
    <x v="499"/>
    <x v="4"/>
    <n v="3"/>
    <n v="539.46"/>
    <s v="520 Main St"/>
    <s v="Credit Card"/>
    <s v="Shipped"/>
    <s v="TRK20289483"/>
    <n v="4"/>
    <s v="SAVE10"/>
    <x v="3"/>
    <n v="1618.38"/>
  </r>
  <r>
    <x v="500"/>
    <x v="5"/>
    <n v="5"/>
    <n v="508.59"/>
    <s v="169 Main St"/>
    <s v="Cash"/>
    <s v="Returned"/>
    <s v="TRK42168516"/>
    <n v="8"/>
    <s v="WINTER15"/>
    <x v="3"/>
    <n v="2542.9499999999998"/>
  </r>
  <r>
    <x v="501"/>
    <x v="6"/>
    <n v="4"/>
    <n v="203.46"/>
    <s v="226 Main St"/>
    <s v="Credit Card"/>
    <s v="Pending"/>
    <s v="TRK19867754"/>
    <n v="7"/>
    <s v="SAVE10"/>
    <x v="1"/>
    <n v="813.84"/>
  </r>
  <r>
    <x v="502"/>
    <x v="0"/>
    <n v="3"/>
    <n v="565.25"/>
    <s v="745 Main St"/>
    <s v="Debit Card"/>
    <s v="Returned"/>
    <s v="TRK65718848"/>
    <n v="7"/>
    <s v="SAVE10"/>
    <x v="2"/>
    <n v="1695.75"/>
  </r>
  <r>
    <x v="503"/>
    <x v="2"/>
    <n v="3"/>
    <n v="136.84"/>
    <s v="498 Main St"/>
    <s v="Online"/>
    <s v="Pending"/>
    <s v="TRK95384568"/>
    <n v="4"/>
    <s v="FREESHIP"/>
    <x v="3"/>
    <n v="410.52"/>
  </r>
  <r>
    <x v="504"/>
    <x v="0"/>
    <n v="2"/>
    <n v="464.5"/>
    <s v="805 Main St"/>
    <s v="Online"/>
    <s v="Cancelled"/>
    <s v="TRK35726395"/>
    <n v="2"/>
    <s v="WINTER15"/>
    <x v="0"/>
    <n v="929"/>
  </r>
  <r>
    <x v="505"/>
    <x v="4"/>
    <n v="2"/>
    <n v="434.97"/>
    <s v="558 Main St"/>
    <s v="Online"/>
    <s v="Shipped"/>
    <s v="TRK97246526"/>
    <n v="7"/>
    <s v="NA"/>
    <x v="2"/>
    <n v="869.94"/>
  </r>
  <r>
    <x v="506"/>
    <x v="0"/>
    <n v="2"/>
    <n v="43.67"/>
    <s v="696 Main St"/>
    <s v="Cash"/>
    <s v="Returned"/>
    <s v="TRK58039693"/>
    <n v="4"/>
    <s v="WINTER15"/>
    <x v="0"/>
    <n v="87.34"/>
  </r>
  <r>
    <x v="507"/>
    <x v="1"/>
    <n v="1"/>
    <n v="171.59"/>
    <s v="546 Main St"/>
    <s v="Credit Card"/>
    <s v="Pending"/>
    <s v="TRK87513944"/>
    <n v="5"/>
    <s v="WINTER15"/>
    <x v="2"/>
    <n v="171.59"/>
  </r>
  <r>
    <x v="508"/>
    <x v="1"/>
    <n v="1"/>
    <n v="558.27"/>
    <s v="976 Main St"/>
    <s v="Online"/>
    <s v="Delivered"/>
    <s v="TRK24120267"/>
    <n v="1"/>
    <s v="NA"/>
    <x v="1"/>
    <n v="558.27"/>
  </r>
  <r>
    <x v="509"/>
    <x v="5"/>
    <n v="2"/>
    <n v="425.03"/>
    <s v="560 Main St"/>
    <s v="Cash"/>
    <s v="Returned"/>
    <s v="TRK31908657"/>
    <n v="2"/>
    <s v="WINTER15"/>
    <x v="4"/>
    <n v="850.06"/>
  </r>
  <r>
    <x v="510"/>
    <x v="4"/>
    <n v="1"/>
    <n v="376.76"/>
    <s v="389 Main St"/>
    <s v="Debit Card"/>
    <s v="Delivered"/>
    <s v="TRK51288986"/>
    <n v="5"/>
    <s v="SAVE10"/>
    <x v="2"/>
    <n v="376.76"/>
  </r>
  <r>
    <x v="511"/>
    <x v="0"/>
    <n v="5"/>
    <n v="575.24"/>
    <s v="267 Main St"/>
    <s v="Cash"/>
    <s v="Delivered"/>
    <s v="TRK65061457"/>
    <n v="7"/>
    <s v="WINTER15"/>
    <x v="2"/>
    <n v="2876.2"/>
  </r>
  <r>
    <x v="512"/>
    <x v="6"/>
    <n v="3"/>
    <n v="568.02"/>
    <s v="856 Main St"/>
    <s v="Online"/>
    <s v="Pending"/>
    <s v="TRK63290700"/>
    <n v="3"/>
    <s v="FREESHIP"/>
    <x v="0"/>
    <n v="1704.06"/>
  </r>
  <r>
    <x v="513"/>
    <x v="2"/>
    <n v="3"/>
    <n v="94.88"/>
    <s v="533 Main St"/>
    <s v="Gift Card"/>
    <s v="Shipped"/>
    <s v="TRK37053575"/>
    <n v="8"/>
    <s v="NA"/>
    <x v="1"/>
    <n v="284.64"/>
  </r>
  <r>
    <x v="514"/>
    <x v="4"/>
    <n v="3"/>
    <n v="304.14999999999998"/>
    <s v="492 Main St"/>
    <s v="Gift Card"/>
    <s v="Shipped"/>
    <s v="TRK64926044"/>
    <n v="3"/>
    <s v="WINTER15"/>
    <x v="0"/>
    <n v="912.44999999999993"/>
  </r>
  <r>
    <x v="515"/>
    <x v="1"/>
    <n v="3"/>
    <n v="553.52"/>
    <s v="160 Main St"/>
    <s v="Gift Card"/>
    <s v="Shipped"/>
    <s v="TRK75900717"/>
    <n v="4"/>
    <s v="FREESHIP"/>
    <x v="3"/>
    <n v="1660.56"/>
  </r>
  <r>
    <x v="516"/>
    <x v="0"/>
    <n v="3"/>
    <n v="166.99"/>
    <s v="208 Main St"/>
    <s v="Cash"/>
    <s v="Returned"/>
    <s v="TRK28855040"/>
    <n v="8"/>
    <s v="NA"/>
    <x v="3"/>
    <n v="500.97"/>
  </r>
  <r>
    <x v="517"/>
    <x v="2"/>
    <n v="4"/>
    <n v="198.35"/>
    <s v="943 Main St"/>
    <s v="Cash"/>
    <s v="Cancelled"/>
    <s v="TRK88141634"/>
    <n v="7"/>
    <s v="FREESHIP"/>
    <x v="4"/>
    <n v="793.4"/>
  </r>
  <r>
    <x v="518"/>
    <x v="4"/>
    <n v="4"/>
    <n v="403.58"/>
    <s v="319 Main St"/>
    <s v="Online"/>
    <s v="Pending"/>
    <s v="TRK59807273"/>
    <n v="9"/>
    <s v="SAVE10"/>
    <x v="1"/>
    <n v="1614.32"/>
  </r>
  <r>
    <x v="519"/>
    <x v="5"/>
    <n v="4"/>
    <n v="464.29"/>
    <s v="941 Main St"/>
    <s v="Debit Card"/>
    <s v="Returned"/>
    <s v="TRK66010667"/>
    <n v="5"/>
    <s v="SAVE10"/>
    <x v="2"/>
    <n v="1857.16"/>
  </r>
  <r>
    <x v="520"/>
    <x v="0"/>
    <n v="3"/>
    <n v="635.98"/>
    <s v="959 Main St"/>
    <s v="Cash"/>
    <s v="Returned"/>
    <s v="TRK27063398"/>
    <n v="5"/>
    <s v="NA"/>
    <x v="1"/>
    <n v="1907.94"/>
  </r>
  <r>
    <x v="521"/>
    <x v="1"/>
    <n v="1"/>
    <n v="528.05999999999995"/>
    <s v="991 Main St"/>
    <s v="Credit Card"/>
    <s v="Shipped"/>
    <s v="TRK37534165"/>
    <n v="2"/>
    <s v="NA"/>
    <x v="3"/>
    <n v="528.05999999999995"/>
  </r>
  <r>
    <x v="522"/>
    <x v="3"/>
    <n v="1"/>
    <n v="515.32000000000005"/>
    <s v="740 Main St"/>
    <s v="Gift Card"/>
    <s v="Cancelled"/>
    <s v="TRK82843861"/>
    <n v="1"/>
    <s v="FREESHIP"/>
    <x v="2"/>
    <n v="515.32000000000005"/>
  </r>
  <r>
    <x v="523"/>
    <x v="6"/>
    <n v="4"/>
    <n v="657.79"/>
    <s v="652 Main St"/>
    <s v="Credit Card"/>
    <s v="Returned"/>
    <s v="TRK60937148"/>
    <n v="6"/>
    <s v="WINTER15"/>
    <x v="4"/>
    <n v="2631.16"/>
  </r>
  <r>
    <x v="524"/>
    <x v="1"/>
    <n v="1"/>
    <n v="153"/>
    <s v="103 Main St"/>
    <s v="Credit Card"/>
    <s v="Returned"/>
    <s v="TRK92617366"/>
    <n v="4"/>
    <s v="NA"/>
    <x v="1"/>
    <n v="153"/>
  </r>
  <r>
    <x v="525"/>
    <x v="0"/>
    <n v="1"/>
    <n v="668.48"/>
    <s v="160 Main St"/>
    <s v="Debit Card"/>
    <s v="Shipped"/>
    <s v="TRK18061555"/>
    <n v="1"/>
    <s v="SAVE10"/>
    <x v="2"/>
    <n v="668.48"/>
  </r>
  <r>
    <x v="526"/>
    <x v="6"/>
    <n v="2"/>
    <n v="46.5"/>
    <s v="837 Main St"/>
    <s v="Cash"/>
    <s v="Returned"/>
    <s v="TRK63526023"/>
    <n v="7"/>
    <s v="WINTER15"/>
    <x v="4"/>
    <n v="93"/>
  </r>
  <r>
    <x v="527"/>
    <x v="3"/>
    <n v="5"/>
    <n v="653.47"/>
    <s v="967 Main St"/>
    <s v="Credit Card"/>
    <s v="Cancelled"/>
    <s v="TRK75406128"/>
    <n v="10"/>
    <s v="SAVE10"/>
    <x v="1"/>
    <n v="3267.35"/>
  </r>
  <r>
    <x v="528"/>
    <x v="3"/>
    <n v="1"/>
    <n v="628.89"/>
    <s v="686 Main St"/>
    <s v="Credit Card"/>
    <s v="Returned"/>
    <s v="TRK70997744"/>
    <n v="2"/>
    <s v="SAVE10"/>
    <x v="1"/>
    <n v="628.89"/>
  </r>
  <r>
    <x v="529"/>
    <x v="2"/>
    <n v="2"/>
    <n v="675.1"/>
    <s v="938 Main St"/>
    <s v="Cash"/>
    <s v="Pending"/>
    <s v="TRK50363421"/>
    <n v="4"/>
    <s v="FREESHIP"/>
    <x v="4"/>
    <n v="1350.2"/>
  </r>
  <r>
    <x v="530"/>
    <x v="3"/>
    <n v="4"/>
    <n v="89.41"/>
    <s v="613 Main St"/>
    <s v="Online"/>
    <s v="Pending"/>
    <s v="TRK14809530"/>
    <n v="9"/>
    <s v="NA"/>
    <x v="4"/>
    <n v="357.64"/>
  </r>
  <r>
    <x v="531"/>
    <x v="6"/>
    <n v="5"/>
    <n v="320.01"/>
    <s v="722 Main St"/>
    <s v="Gift Card"/>
    <s v="Delivered"/>
    <s v="TRK14914388"/>
    <n v="6"/>
    <s v="NA"/>
    <x v="1"/>
    <n v="1600.05"/>
  </r>
  <r>
    <x v="532"/>
    <x v="5"/>
    <n v="2"/>
    <n v="41"/>
    <s v="369 Main St"/>
    <s v="Online"/>
    <s v="Delivered"/>
    <s v="TRK42207882"/>
    <n v="7"/>
    <s v="NA"/>
    <x v="2"/>
    <n v="82"/>
  </r>
  <r>
    <x v="533"/>
    <x v="6"/>
    <n v="1"/>
    <n v="565.85"/>
    <s v="715 Main St"/>
    <s v="Gift Card"/>
    <s v="Returned"/>
    <s v="TRK63550793"/>
    <n v="1"/>
    <s v="FREESHIP"/>
    <x v="3"/>
    <n v="565.85"/>
  </r>
  <r>
    <x v="534"/>
    <x v="3"/>
    <n v="3"/>
    <n v="648.59"/>
    <s v="906 Main St"/>
    <s v="Debit Card"/>
    <s v="Cancelled"/>
    <s v="TRK70872738"/>
    <n v="4"/>
    <s v="SAVE10"/>
    <x v="2"/>
    <n v="1945.77"/>
  </r>
  <r>
    <x v="535"/>
    <x v="0"/>
    <n v="3"/>
    <n v="68.12"/>
    <s v="332 Main St"/>
    <s v="Online"/>
    <s v="Cancelled"/>
    <s v="TRK45821445"/>
    <n v="3"/>
    <s v="FREESHIP"/>
    <x v="2"/>
    <n v="204.36"/>
  </r>
  <r>
    <x v="536"/>
    <x v="3"/>
    <n v="1"/>
    <n v="616.1"/>
    <s v="124 Main St"/>
    <s v="Cash"/>
    <s v="Returned"/>
    <s v="TRK52508861"/>
    <n v="6"/>
    <s v="NA"/>
    <x v="2"/>
    <n v="616.1"/>
  </r>
  <r>
    <x v="537"/>
    <x v="2"/>
    <n v="3"/>
    <n v="247.47"/>
    <s v="385 Main St"/>
    <s v="Online"/>
    <s v="Delivered"/>
    <s v="TRK58218971"/>
    <n v="4"/>
    <s v="SAVE10"/>
    <x v="3"/>
    <n v="742.41"/>
  </r>
  <r>
    <x v="538"/>
    <x v="1"/>
    <n v="3"/>
    <n v="490.74"/>
    <s v="100 Main St"/>
    <s v="Cash"/>
    <s v="Shipped"/>
    <s v="TRK95487711"/>
    <n v="3"/>
    <s v="WINTER15"/>
    <x v="2"/>
    <n v="1472.22"/>
  </r>
  <r>
    <x v="539"/>
    <x v="6"/>
    <n v="3"/>
    <n v="531.72"/>
    <s v="473 Main St"/>
    <s v="Gift Card"/>
    <s v="Delivered"/>
    <s v="TRK17653832"/>
    <n v="7"/>
    <s v="SAVE10"/>
    <x v="4"/>
    <n v="1595.16"/>
  </r>
  <r>
    <x v="540"/>
    <x v="5"/>
    <n v="5"/>
    <n v="648.65"/>
    <s v="852 Main St"/>
    <s v="Online"/>
    <s v="Pending"/>
    <s v="TRK81765057"/>
    <n v="7"/>
    <s v="NA"/>
    <x v="1"/>
    <n v="3243.25"/>
  </r>
  <r>
    <x v="541"/>
    <x v="4"/>
    <n v="5"/>
    <n v="456.06"/>
    <s v="879 Main St"/>
    <s v="Cash"/>
    <s v="Pending"/>
    <s v="TRK61295842"/>
    <n v="10"/>
    <s v="NA"/>
    <x v="0"/>
    <n v="2280.3000000000002"/>
  </r>
  <r>
    <x v="542"/>
    <x v="2"/>
    <n v="1"/>
    <n v="17.98"/>
    <s v="934 Main St"/>
    <s v="Cash"/>
    <s v="Cancelled"/>
    <s v="TRK20739460"/>
    <n v="6"/>
    <s v="FREESHIP"/>
    <x v="2"/>
    <n v="17.98"/>
  </r>
  <r>
    <x v="543"/>
    <x v="6"/>
    <n v="5"/>
    <n v="269.86"/>
    <s v="354 Main St"/>
    <s v="Cash"/>
    <s v="Shipped"/>
    <s v="TRK93877673"/>
    <n v="6"/>
    <s v="WINTER15"/>
    <x v="3"/>
    <n v="1349.3"/>
  </r>
  <r>
    <x v="544"/>
    <x v="4"/>
    <n v="5"/>
    <n v="31.96"/>
    <s v="373 Main St"/>
    <s v="Credit Card"/>
    <s v="Returned"/>
    <s v="TRK96334419"/>
    <n v="5"/>
    <s v="FREESHIP"/>
    <x v="1"/>
    <n v="159.80000000000001"/>
  </r>
  <r>
    <x v="545"/>
    <x v="0"/>
    <n v="2"/>
    <n v="98.47"/>
    <s v="964 Main St"/>
    <s v="Cash"/>
    <s v="Returned"/>
    <s v="TRK74091695"/>
    <n v="3"/>
    <s v="NA"/>
    <x v="0"/>
    <n v="196.94"/>
  </r>
  <r>
    <x v="546"/>
    <x v="0"/>
    <n v="1"/>
    <n v="158.68"/>
    <s v="928 Main St"/>
    <s v="Credit Card"/>
    <s v="Returned"/>
    <s v="TRK77177284"/>
    <n v="6"/>
    <s v="WINTER15"/>
    <x v="0"/>
    <n v="158.68"/>
  </r>
  <r>
    <x v="547"/>
    <x v="1"/>
    <n v="1"/>
    <n v="613.98"/>
    <s v="411 Main St"/>
    <s v="Online"/>
    <s v="Delivered"/>
    <s v="TRK25392280"/>
    <n v="4"/>
    <s v="FREESHIP"/>
    <x v="3"/>
    <n v="613.98"/>
  </r>
  <r>
    <x v="548"/>
    <x v="4"/>
    <n v="3"/>
    <n v="426.12"/>
    <s v="922 Main St"/>
    <s v="Online"/>
    <s v="Delivered"/>
    <s v="TRK64398650"/>
    <n v="5"/>
    <s v="WINTER15"/>
    <x v="0"/>
    <n v="1278.3599999999999"/>
  </r>
  <r>
    <x v="549"/>
    <x v="0"/>
    <n v="4"/>
    <n v="629.88"/>
    <s v="550 Main St"/>
    <s v="Debit Card"/>
    <s v="Cancelled"/>
    <s v="TRK56378197"/>
    <n v="8"/>
    <s v="WINTER15"/>
    <x v="0"/>
    <n v="2519.52"/>
  </r>
  <r>
    <x v="550"/>
    <x v="5"/>
    <n v="4"/>
    <n v="228.91"/>
    <s v="573 Main St"/>
    <s v="Cash"/>
    <s v="Shipped"/>
    <s v="TRK81794737"/>
    <n v="4"/>
    <s v="FREESHIP"/>
    <x v="4"/>
    <n v="915.64"/>
  </r>
  <r>
    <x v="551"/>
    <x v="5"/>
    <n v="1"/>
    <n v="120.98"/>
    <s v="353 Main St"/>
    <s v="Debit Card"/>
    <s v="Delivered"/>
    <s v="TRK74812710"/>
    <n v="6"/>
    <s v="WINTER15"/>
    <x v="2"/>
    <n v="120.98"/>
  </r>
  <r>
    <x v="552"/>
    <x v="3"/>
    <n v="4"/>
    <n v="425.18"/>
    <s v="560 Main St"/>
    <s v="Online"/>
    <s v="Returned"/>
    <s v="TRK29890761"/>
    <n v="8"/>
    <s v="WINTER15"/>
    <x v="3"/>
    <n v="1700.72"/>
  </r>
  <r>
    <x v="553"/>
    <x v="1"/>
    <n v="2"/>
    <n v="333.83"/>
    <s v="828 Main St"/>
    <s v="Gift Card"/>
    <s v="Cancelled"/>
    <s v="TRK74103758"/>
    <n v="4"/>
    <s v="FREESHIP"/>
    <x v="1"/>
    <n v="667.66"/>
  </r>
  <r>
    <x v="554"/>
    <x v="5"/>
    <n v="2"/>
    <n v="492.9"/>
    <s v="610 Main St"/>
    <s v="Cash"/>
    <s v="Returned"/>
    <s v="TRK66126496"/>
    <n v="5"/>
    <s v="FREESHIP"/>
    <x v="0"/>
    <n v="985.8"/>
  </r>
  <r>
    <x v="555"/>
    <x v="2"/>
    <n v="1"/>
    <n v="92.04"/>
    <s v="333 Main St"/>
    <s v="Cash"/>
    <s v="Shipped"/>
    <s v="TRK89306964"/>
    <n v="2"/>
    <s v="NA"/>
    <x v="3"/>
    <n v="92.04"/>
  </r>
  <r>
    <x v="556"/>
    <x v="5"/>
    <n v="1"/>
    <n v="654.27"/>
    <s v="932 Main St"/>
    <s v="Gift Card"/>
    <s v="Pending"/>
    <s v="TRK82609328"/>
    <n v="2"/>
    <s v="SAVE10"/>
    <x v="3"/>
    <n v="654.27"/>
  </r>
  <r>
    <x v="557"/>
    <x v="2"/>
    <n v="1"/>
    <n v="56.2"/>
    <s v="130 Main St"/>
    <s v="Debit Card"/>
    <s v="Pending"/>
    <s v="TRK40719215"/>
    <n v="1"/>
    <s v="WINTER15"/>
    <x v="3"/>
    <n v="56.2"/>
  </r>
  <r>
    <x v="558"/>
    <x v="1"/>
    <n v="4"/>
    <n v="628.12"/>
    <s v="485 Main St"/>
    <s v="Online"/>
    <s v="Delivered"/>
    <s v="TRK32052962"/>
    <n v="6"/>
    <s v="WINTER15"/>
    <x v="0"/>
    <n v="2512.48"/>
  </r>
  <r>
    <x v="559"/>
    <x v="6"/>
    <n v="3"/>
    <n v="157.4"/>
    <s v="454 Main St"/>
    <s v="Debit Card"/>
    <s v="Cancelled"/>
    <s v="TRK10115285"/>
    <n v="7"/>
    <s v="WINTER15"/>
    <x v="2"/>
    <n v="472.2"/>
  </r>
  <r>
    <x v="560"/>
    <x v="0"/>
    <n v="4"/>
    <n v="588.85"/>
    <s v="524 Main St"/>
    <s v="Gift Card"/>
    <s v="Pending"/>
    <s v="TRK93168008"/>
    <n v="7"/>
    <s v="NA"/>
    <x v="2"/>
    <n v="2355.4"/>
  </r>
  <r>
    <x v="561"/>
    <x v="4"/>
    <n v="2"/>
    <n v="494.78"/>
    <s v="198 Main St"/>
    <s v="Online"/>
    <s v="Shipped"/>
    <s v="TRK89180077"/>
    <n v="2"/>
    <s v="NA"/>
    <x v="4"/>
    <n v="989.56"/>
  </r>
  <r>
    <x v="562"/>
    <x v="5"/>
    <n v="3"/>
    <n v="663.93"/>
    <s v="922 Main St"/>
    <s v="Gift Card"/>
    <s v="Returned"/>
    <s v="TRK28043915"/>
    <n v="6"/>
    <s v="FREESHIP"/>
    <x v="2"/>
    <n v="1991.79"/>
  </r>
  <r>
    <x v="563"/>
    <x v="5"/>
    <n v="1"/>
    <n v="132.68"/>
    <s v="844 Main St"/>
    <s v="Debit Card"/>
    <s v="Returned"/>
    <s v="TRK68645763"/>
    <n v="1"/>
    <s v="SAVE10"/>
    <x v="1"/>
    <n v="132.68"/>
  </r>
  <r>
    <x v="564"/>
    <x v="6"/>
    <n v="5"/>
    <n v="364.28"/>
    <s v="734 Main St"/>
    <s v="Credit Card"/>
    <s v="Cancelled"/>
    <s v="TRK99446987"/>
    <n v="5"/>
    <s v="WINTER15"/>
    <x v="4"/>
    <n v="1821.4"/>
  </r>
  <r>
    <x v="565"/>
    <x v="2"/>
    <n v="5"/>
    <n v="307.98"/>
    <s v="214 Main St"/>
    <s v="Online"/>
    <s v="Pending"/>
    <s v="TRK42605492"/>
    <n v="10"/>
    <s v="NA"/>
    <x v="3"/>
    <n v="1539.9"/>
  </r>
  <r>
    <x v="566"/>
    <x v="1"/>
    <n v="4"/>
    <n v="162.71"/>
    <s v="167 Main St"/>
    <s v="Cash"/>
    <s v="Cancelled"/>
    <s v="TRK54339083"/>
    <n v="7"/>
    <s v="FREESHIP"/>
    <x v="2"/>
    <n v="650.84"/>
  </r>
  <r>
    <x v="567"/>
    <x v="3"/>
    <n v="5"/>
    <n v="492.94"/>
    <s v="153 Main St"/>
    <s v="Cash"/>
    <s v="Shipped"/>
    <s v="TRK53579227"/>
    <n v="10"/>
    <s v="FREESHIP"/>
    <x v="2"/>
    <n v="2464.6999999999998"/>
  </r>
  <r>
    <x v="568"/>
    <x v="5"/>
    <n v="2"/>
    <n v="343.99"/>
    <s v="312 Main St"/>
    <s v="Online"/>
    <s v="Delivered"/>
    <s v="TRK72334047"/>
    <n v="4"/>
    <s v="NA"/>
    <x v="4"/>
    <n v="687.98"/>
  </r>
  <r>
    <x v="569"/>
    <x v="6"/>
    <n v="5"/>
    <n v="250.68"/>
    <s v="672 Main St"/>
    <s v="Cash"/>
    <s v="Shipped"/>
    <s v="TRK13289741"/>
    <n v="8"/>
    <s v="SAVE10"/>
    <x v="0"/>
    <n v="1253.4000000000001"/>
  </r>
  <r>
    <x v="570"/>
    <x v="6"/>
    <n v="2"/>
    <n v="362.14"/>
    <s v="122 Main St"/>
    <s v="Debit Card"/>
    <s v="Pending"/>
    <s v="TRK13611021"/>
    <n v="2"/>
    <s v="SAVE10"/>
    <x v="0"/>
    <n v="724.28"/>
  </r>
  <r>
    <x v="571"/>
    <x v="2"/>
    <n v="1"/>
    <n v="214.08"/>
    <s v="867 Main St"/>
    <s v="Gift Card"/>
    <s v="Returned"/>
    <s v="TRK39563288"/>
    <n v="2"/>
    <s v="WINTER15"/>
    <x v="4"/>
    <n v="214.08"/>
  </r>
  <r>
    <x v="572"/>
    <x v="4"/>
    <n v="1"/>
    <n v="70.319999999999993"/>
    <s v="341 Main St"/>
    <s v="Cash"/>
    <s v="Returned"/>
    <s v="TRK69125497"/>
    <n v="4"/>
    <s v="WINTER15"/>
    <x v="3"/>
    <n v="70.319999999999993"/>
  </r>
  <r>
    <x v="573"/>
    <x v="3"/>
    <n v="5"/>
    <n v="421.42"/>
    <s v="522 Main St"/>
    <s v="Debit Card"/>
    <s v="Cancelled"/>
    <s v="TRK30686578"/>
    <n v="7"/>
    <s v="NA"/>
    <x v="0"/>
    <n v="2107.1"/>
  </r>
  <r>
    <x v="574"/>
    <x v="3"/>
    <n v="5"/>
    <n v="384.69"/>
    <s v="275 Main St"/>
    <s v="Credit Card"/>
    <s v="Pending"/>
    <s v="TRK97733212"/>
    <n v="6"/>
    <s v="FREESHIP"/>
    <x v="2"/>
    <n v="1923.45"/>
  </r>
  <r>
    <x v="575"/>
    <x v="3"/>
    <n v="5"/>
    <n v="448.15"/>
    <s v="528 Main St"/>
    <s v="Gift Card"/>
    <s v="Returned"/>
    <s v="TRK61640534"/>
    <n v="7"/>
    <s v="SAVE10"/>
    <x v="4"/>
    <n v="2240.75"/>
  </r>
  <r>
    <x v="576"/>
    <x v="5"/>
    <n v="5"/>
    <n v="79.08"/>
    <s v="747 Main St"/>
    <s v="Cash"/>
    <s v="Pending"/>
    <s v="TRK42517811"/>
    <n v="8"/>
    <s v="NA"/>
    <x v="3"/>
    <n v="395.4"/>
  </r>
  <r>
    <x v="577"/>
    <x v="2"/>
    <n v="4"/>
    <n v="185.41"/>
    <s v="967 Main St"/>
    <s v="Online"/>
    <s v="Returned"/>
    <s v="TRK44401497"/>
    <n v="9"/>
    <s v="WINTER15"/>
    <x v="4"/>
    <n v="741.64"/>
  </r>
  <r>
    <x v="578"/>
    <x v="0"/>
    <n v="5"/>
    <n v="566.07000000000005"/>
    <s v="587 Main St"/>
    <s v="Credit Card"/>
    <s v="Delivered"/>
    <s v="TRK41345634"/>
    <n v="6"/>
    <s v="SAVE10"/>
    <x v="0"/>
    <n v="2830.35"/>
  </r>
  <r>
    <x v="579"/>
    <x v="2"/>
    <n v="2"/>
    <n v="187.88"/>
    <s v="413 Main St"/>
    <s v="Online"/>
    <s v="Shipped"/>
    <s v="TRK67919507"/>
    <n v="4"/>
    <s v="WINTER15"/>
    <x v="3"/>
    <n v="375.76"/>
  </r>
  <r>
    <x v="580"/>
    <x v="0"/>
    <n v="2"/>
    <n v="255.99"/>
    <s v="340 Main St"/>
    <s v="Credit Card"/>
    <s v="Delivered"/>
    <s v="TRK65148292"/>
    <n v="4"/>
    <s v="SAVE10"/>
    <x v="0"/>
    <n v="511.98"/>
  </r>
  <r>
    <x v="581"/>
    <x v="5"/>
    <n v="1"/>
    <n v="627.34"/>
    <s v="942 Main St"/>
    <s v="Online"/>
    <s v="Delivered"/>
    <s v="TRK87158684"/>
    <n v="1"/>
    <s v="NA"/>
    <x v="1"/>
    <n v="627.34"/>
  </r>
  <r>
    <x v="582"/>
    <x v="2"/>
    <n v="3"/>
    <n v="474.14"/>
    <s v="558 Main St"/>
    <s v="Gift Card"/>
    <s v="Shipped"/>
    <s v="TRK33860620"/>
    <n v="8"/>
    <s v="WINTER15"/>
    <x v="4"/>
    <n v="1422.42"/>
  </r>
  <r>
    <x v="583"/>
    <x v="3"/>
    <n v="3"/>
    <n v="154.37"/>
    <s v="996 Main St"/>
    <s v="Gift Card"/>
    <s v="Delivered"/>
    <s v="TRK29750379"/>
    <n v="4"/>
    <s v="NA"/>
    <x v="0"/>
    <n v="463.11"/>
  </r>
  <r>
    <x v="584"/>
    <x v="3"/>
    <n v="4"/>
    <n v="145.05000000000001"/>
    <s v="626 Main St"/>
    <s v="Online"/>
    <s v="Delivered"/>
    <s v="TRK28779938"/>
    <n v="6"/>
    <s v="SAVE10"/>
    <x v="4"/>
    <n v="580.20000000000005"/>
  </r>
  <r>
    <x v="585"/>
    <x v="2"/>
    <n v="4"/>
    <n v="67.08"/>
    <s v="907 Main St"/>
    <s v="Cash"/>
    <s v="Returned"/>
    <s v="TRK79617136"/>
    <n v="8"/>
    <s v="WINTER15"/>
    <x v="4"/>
    <n v="268.32"/>
  </r>
  <r>
    <x v="586"/>
    <x v="0"/>
    <n v="1"/>
    <n v="522.08000000000004"/>
    <s v="905 Main St"/>
    <s v="Gift Card"/>
    <s v="Returned"/>
    <s v="TRK98857880"/>
    <n v="5"/>
    <s v="FREESHIP"/>
    <x v="1"/>
    <n v="522.08000000000004"/>
  </r>
  <r>
    <x v="587"/>
    <x v="0"/>
    <n v="5"/>
    <n v="514.6"/>
    <s v="347 Main St"/>
    <s v="Gift Card"/>
    <s v="Delivered"/>
    <s v="TRK91547425"/>
    <n v="10"/>
    <s v="FREESHIP"/>
    <x v="0"/>
    <n v="2573"/>
  </r>
  <r>
    <x v="588"/>
    <x v="0"/>
    <n v="4"/>
    <n v="577.82000000000005"/>
    <s v="811 Main St"/>
    <s v="Credit Card"/>
    <s v="Delivered"/>
    <s v="TRK47613918"/>
    <n v="9"/>
    <s v="NA"/>
    <x v="4"/>
    <n v="2311.2800000000002"/>
  </r>
  <r>
    <x v="589"/>
    <x v="5"/>
    <n v="2"/>
    <n v="500.8"/>
    <s v="900 Main St"/>
    <s v="Cash"/>
    <s v="Delivered"/>
    <s v="TRK84920444"/>
    <n v="3"/>
    <s v="FREESHIP"/>
    <x v="1"/>
    <n v="1001.6"/>
  </r>
  <r>
    <x v="590"/>
    <x v="4"/>
    <n v="2"/>
    <n v="461.13"/>
    <s v="175 Main St"/>
    <s v="Gift Card"/>
    <s v="Returned"/>
    <s v="TRK27356242"/>
    <n v="4"/>
    <s v="NA"/>
    <x v="2"/>
    <n v="922.26"/>
  </r>
  <r>
    <x v="591"/>
    <x v="5"/>
    <n v="1"/>
    <n v="605.28"/>
    <s v="470 Main St"/>
    <s v="Gift Card"/>
    <s v="Shipped"/>
    <s v="TRK50528185"/>
    <n v="3"/>
    <s v="FREESHIP"/>
    <x v="1"/>
    <n v="605.28"/>
  </r>
  <r>
    <x v="592"/>
    <x v="1"/>
    <n v="3"/>
    <n v="204.27"/>
    <s v="938 Main St"/>
    <s v="Online"/>
    <s v="Returned"/>
    <s v="TRK15499648"/>
    <n v="4"/>
    <s v="NA"/>
    <x v="4"/>
    <n v="612.81000000000006"/>
  </r>
  <r>
    <x v="593"/>
    <x v="0"/>
    <n v="1"/>
    <n v="489.8"/>
    <s v="636 Main St"/>
    <s v="Gift Card"/>
    <s v="Shipped"/>
    <s v="TRK31375086"/>
    <n v="4"/>
    <s v="FREESHIP"/>
    <x v="3"/>
    <n v="489.8"/>
  </r>
  <r>
    <x v="594"/>
    <x v="1"/>
    <n v="5"/>
    <n v="72.64"/>
    <s v="598 Main St"/>
    <s v="Credit Card"/>
    <s v="Cancelled"/>
    <s v="TRK12671989"/>
    <n v="7"/>
    <s v="NA"/>
    <x v="2"/>
    <n v="363.2"/>
  </r>
  <r>
    <x v="595"/>
    <x v="4"/>
    <n v="2"/>
    <n v="385.16"/>
    <s v="491 Main St"/>
    <s v="Online"/>
    <s v="Pending"/>
    <s v="TRK83870446"/>
    <n v="7"/>
    <s v="SAVE10"/>
    <x v="2"/>
    <n v="770.32"/>
  </r>
  <r>
    <x v="596"/>
    <x v="6"/>
    <n v="3"/>
    <n v="606.41"/>
    <s v="653 Main St"/>
    <s v="Debit Card"/>
    <s v="Returned"/>
    <s v="TRK34504030"/>
    <n v="7"/>
    <s v="FREESHIP"/>
    <x v="3"/>
    <n v="1819.23"/>
  </r>
  <r>
    <x v="597"/>
    <x v="6"/>
    <n v="2"/>
    <n v="211.82"/>
    <s v="700 Main St"/>
    <s v="Gift Card"/>
    <s v="Cancelled"/>
    <s v="TRK29821356"/>
    <n v="4"/>
    <s v="WINTER15"/>
    <x v="2"/>
    <n v="423.64"/>
  </r>
  <r>
    <x v="598"/>
    <x v="6"/>
    <n v="5"/>
    <n v="495.35"/>
    <s v="826 Main St"/>
    <s v="Credit Card"/>
    <s v="Pending"/>
    <s v="TRK59069987"/>
    <n v="5"/>
    <s v="NA"/>
    <x v="3"/>
    <n v="2476.75"/>
  </r>
  <r>
    <x v="599"/>
    <x v="3"/>
    <n v="3"/>
    <n v="556.99"/>
    <s v="123 Main St"/>
    <s v="Online"/>
    <s v="Cancelled"/>
    <s v="TRK33642221"/>
    <n v="4"/>
    <s v="FREESHIP"/>
    <x v="3"/>
    <n v="1670.97"/>
  </r>
  <r>
    <x v="600"/>
    <x v="4"/>
    <n v="1"/>
    <n v="72.31"/>
    <s v="460 Main St"/>
    <s v="Gift Card"/>
    <s v="Cancelled"/>
    <s v="TRK82056333"/>
    <n v="1"/>
    <s v="FREESHIP"/>
    <x v="3"/>
    <n v="72.31"/>
  </r>
  <r>
    <x v="601"/>
    <x v="0"/>
    <n v="5"/>
    <n v="24.82"/>
    <s v="529 Main St"/>
    <s v="Credit Card"/>
    <s v="Shipped"/>
    <s v="TRK73935314"/>
    <n v="10"/>
    <s v="NA"/>
    <x v="1"/>
    <n v="124.1"/>
  </r>
  <r>
    <x v="482"/>
    <x v="2"/>
    <n v="4"/>
    <n v="26.04"/>
    <s v="982 Main St"/>
    <s v="Online"/>
    <s v="Pending"/>
    <s v="TRK64660134"/>
    <n v="5"/>
    <s v="SAVE10"/>
    <x v="0"/>
    <n v="104.16"/>
  </r>
  <r>
    <x v="602"/>
    <x v="2"/>
    <n v="1"/>
    <n v="657.07"/>
    <s v="800 Main St"/>
    <s v="Cash"/>
    <s v="Pending"/>
    <s v="TRK50900547"/>
    <n v="4"/>
    <s v="SAVE10"/>
    <x v="4"/>
    <n v="657.07"/>
  </r>
  <r>
    <x v="603"/>
    <x v="3"/>
    <n v="3"/>
    <n v="32.619999999999997"/>
    <s v="252 Main St"/>
    <s v="Debit Card"/>
    <s v="Delivered"/>
    <s v="TRK81368481"/>
    <n v="6"/>
    <s v="NA"/>
    <x v="3"/>
    <n v="97.859999999999985"/>
  </r>
  <r>
    <x v="604"/>
    <x v="0"/>
    <n v="2"/>
    <n v="228.91"/>
    <s v="892 Main St"/>
    <s v="Debit Card"/>
    <s v="Shipped"/>
    <s v="TRK95620066"/>
    <n v="4"/>
    <s v="SAVE10"/>
    <x v="1"/>
    <n v="457.82"/>
  </r>
  <r>
    <x v="605"/>
    <x v="5"/>
    <n v="3"/>
    <n v="274.75"/>
    <s v="783 Main St"/>
    <s v="Cash"/>
    <s v="Cancelled"/>
    <s v="TRK54128886"/>
    <n v="3"/>
    <s v="SAVE10"/>
    <x v="4"/>
    <n v="824.25"/>
  </r>
  <r>
    <x v="606"/>
    <x v="4"/>
    <n v="4"/>
    <n v="634.04999999999995"/>
    <s v="282 Main St"/>
    <s v="Cash"/>
    <s v="Shipped"/>
    <s v="TRK56730647"/>
    <n v="6"/>
    <s v="SAVE10"/>
    <x v="4"/>
    <n v="2536.1999999999998"/>
  </r>
  <r>
    <x v="607"/>
    <x v="5"/>
    <n v="5"/>
    <n v="543.16"/>
    <s v="788 Main St"/>
    <s v="Online"/>
    <s v="Cancelled"/>
    <s v="TRK73140103"/>
    <n v="6"/>
    <s v="SAVE10"/>
    <x v="0"/>
    <n v="2715.8"/>
  </r>
  <r>
    <x v="608"/>
    <x v="3"/>
    <n v="3"/>
    <n v="449.13"/>
    <s v="809 Main St"/>
    <s v="Cash"/>
    <s v="Returned"/>
    <s v="TRK52732162"/>
    <n v="5"/>
    <s v="WINTER15"/>
    <x v="1"/>
    <n v="1347.39"/>
  </r>
  <r>
    <x v="609"/>
    <x v="6"/>
    <n v="5"/>
    <n v="389.62"/>
    <s v="623 Main St"/>
    <s v="Cash"/>
    <s v="Returned"/>
    <s v="TRK83566924"/>
    <n v="7"/>
    <s v="FREESHIP"/>
    <x v="3"/>
    <n v="1948.1"/>
  </r>
  <r>
    <x v="610"/>
    <x v="6"/>
    <n v="1"/>
    <n v="305.17"/>
    <s v="700 Main St"/>
    <s v="Gift Card"/>
    <s v="Returned"/>
    <s v="TRK35720426"/>
    <n v="3"/>
    <s v="WINTER15"/>
    <x v="1"/>
    <n v="305.17"/>
  </r>
  <r>
    <x v="611"/>
    <x v="3"/>
    <n v="3"/>
    <n v="445.12"/>
    <s v="339 Main St"/>
    <s v="Gift Card"/>
    <s v="Cancelled"/>
    <s v="TRK82377939"/>
    <n v="8"/>
    <s v="NA"/>
    <x v="4"/>
    <n v="1335.36"/>
  </r>
  <r>
    <x v="612"/>
    <x v="5"/>
    <n v="2"/>
    <n v="230.36"/>
    <s v="154 Main St"/>
    <s v="Online"/>
    <s v="Returned"/>
    <s v="TRK14721763"/>
    <n v="4"/>
    <s v="WINTER15"/>
    <x v="2"/>
    <n v="460.72"/>
  </r>
  <r>
    <x v="613"/>
    <x v="1"/>
    <n v="1"/>
    <n v="96.81"/>
    <s v="807 Main St"/>
    <s v="Gift Card"/>
    <s v="Cancelled"/>
    <s v="TRK12439827"/>
    <n v="3"/>
    <s v="NA"/>
    <x v="1"/>
    <n v="96.81"/>
  </r>
  <r>
    <x v="614"/>
    <x v="0"/>
    <n v="5"/>
    <n v="460.14"/>
    <s v="252 Main St"/>
    <s v="Credit Card"/>
    <s v="Returned"/>
    <s v="TRK52632065"/>
    <n v="10"/>
    <s v="WINTER15"/>
    <x v="3"/>
    <n v="2300.6999999999998"/>
  </r>
  <r>
    <x v="615"/>
    <x v="2"/>
    <n v="3"/>
    <n v="601.6"/>
    <s v="984 Main St"/>
    <s v="Credit Card"/>
    <s v="Cancelled"/>
    <s v="TRK73113192"/>
    <n v="7"/>
    <s v="SAVE10"/>
    <x v="3"/>
    <n v="1804.8"/>
  </r>
  <r>
    <x v="616"/>
    <x v="2"/>
    <n v="3"/>
    <n v="184.47"/>
    <s v="834 Main St"/>
    <s v="Online"/>
    <s v="Cancelled"/>
    <s v="TRK75469057"/>
    <n v="4"/>
    <s v="NA"/>
    <x v="1"/>
    <n v="553.41"/>
  </r>
  <r>
    <x v="617"/>
    <x v="2"/>
    <n v="1"/>
    <n v="411.34"/>
    <s v="399 Main St"/>
    <s v="Debit Card"/>
    <s v="Returned"/>
    <s v="TRK97981418"/>
    <n v="5"/>
    <s v="NA"/>
    <x v="0"/>
    <n v="411.34"/>
  </r>
  <r>
    <x v="618"/>
    <x v="5"/>
    <n v="1"/>
    <n v="532.89"/>
    <s v="764 Main St"/>
    <s v="Gift Card"/>
    <s v="Pending"/>
    <s v="TRK47637374"/>
    <n v="2"/>
    <s v="NA"/>
    <x v="1"/>
    <n v="532.89"/>
  </r>
  <r>
    <x v="619"/>
    <x v="2"/>
    <n v="3"/>
    <n v="136.34"/>
    <s v="866 Main St"/>
    <s v="Debit Card"/>
    <s v="Returned"/>
    <s v="TRK90136001"/>
    <n v="8"/>
    <s v="SAVE10"/>
    <x v="1"/>
    <n v="409.02"/>
  </r>
  <r>
    <x v="620"/>
    <x v="1"/>
    <n v="5"/>
    <n v="476.01"/>
    <s v="146 Main St"/>
    <s v="Credit Card"/>
    <s v="Delivered"/>
    <s v="TRK82685594"/>
    <n v="7"/>
    <s v="WINTER15"/>
    <x v="4"/>
    <n v="2380.0500000000002"/>
  </r>
  <r>
    <x v="621"/>
    <x v="6"/>
    <n v="5"/>
    <n v="236.38"/>
    <s v="128 Main St"/>
    <s v="Credit Card"/>
    <s v="Returned"/>
    <s v="TRK89314307"/>
    <n v="7"/>
    <s v="NA"/>
    <x v="3"/>
    <n v="1181.9000000000001"/>
  </r>
  <r>
    <x v="622"/>
    <x v="4"/>
    <n v="3"/>
    <n v="396"/>
    <s v="269 Main St"/>
    <s v="Gift Card"/>
    <s v="Cancelled"/>
    <s v="TRK21330732"/>
    <n v="4"/>
    <s v="FREESHIP"/>
    <x v="0"/>
    <n v="1188"/>
  </r>
  <r>
    <x v="623"/>
    <x v="2"/>
    <n v="5"/>
    <n v="341.96"/>
    <s v="747 Main St"/>
    <s v="Debit Card"/>
    <s v="Delivered"/>
    <s v="TRK88559278"/>
    <n v="6"/>
    <s v="NA"/>
    <x v="2"/>
    <n v="1709.8"/>
  </r>
  <r>
    <x v="624"/>
    <x v="2"/>
    <n v="1"/>
    <n v="672.89"/>
    <s v="519 Main St"/>
    <s v="Credit Card"/>
    <s v="Pending"/>
    <s v="TRK43250279"/>
    <n v="1"/>
    <s v="WINTER15"/>
    <x v="2"/>
    <n v="672.89"/>
  </r>
  <r>
    <x v="625"/>
    <x v="2"/>
    <n v="2"/>
    <n v="657.48"/>
    <s v="769 Main St"/>
    <s v="Online"/>
    <s v="Shipped"/>
    <s v="TRK18179773"/>
    <n v="5"/>
    <s v="SAVE10"/>
    <x v="1"/>
    <n v="1314.96"/>
  </r>
  <r>
    <x v="626"/>
    <x v="3"/>
    <n v="3"/>
    <n v="498.68"/>
    <s v="879 Main St"/>
    <s v="Online"/>
    <s v="Returned"/>
    <s v="TRK31724421"/>
    <n v="4"/>
    <s v="FREESHIP"/>
    <x v="2"/>
    <n v="1496.04"/>
  </r>
  <r>
    <x v="627"/>
    <x v="4"/>
    <n v="5"/>
    <n v="558.63"/>
    <s v="861 Main St"/>
    <s v="Cash"/>
    <s v="Pending"/>
    <s v="TRK58568806"/>
    <n v="8"/>
    <s v="FREESHIP"/>
    <x v="1"/>
    <n v="2793.15"/>
  </r>
  <r>
    <x v="628"/>
    <x v="1"/>
    <n v="3"/>
    <n v="19.73"/>
    <s v="840 Main St"/>
    <s v="Online"/>
    <s v="Pending"/>
    <s v="TRK91836131"/>
    <n v="3"/>
    <s v="NA"/>
    <x v="1"/>
    <n v="59.19"/>
  </r>
  <r>
    <x v="629"/>
    <x v="0"/>
    <n v="5"/>
    <n v="248.84"/>
    <s v="140 Main St"/>
    <s v="Debit Card"/>
    <s v="Cancelled"/>
    <s v="TRK33437701"/>
    <n v="10"/>
    <s v="NA"/>
    <x v="0"/>
    <n v="1244.2"/>
  </r>
  <r>
    <x v="630"/>
    <x v="3"/>
    <n v="3"/>
    <n v="46.11"/>
    <s v="360 Main St"/>
    <s v="Gift Card"/>
    <s v="Returned"/>
    <s v="TRK32426808"/>
    <n v="5"/>
    <s v="WINTER15"/>
    <x v="1"/>
    <n v="138.33000000000001"/>
  </r>
  <r>
    <x v="631"/>
    <x v="5"/>
    <n v="5"/>
    <n v="678.16"/>
    <s v="463 Main St"/>
    <s v="Gift Card"/>
    <s v="Delivered"/>
    <s v="TRK38229104"/>
    <n v="7"/>
    <s v="WINTER15"/>
    <x v="3"/>
    <n v="3390.8"/>
  </r>
  <r>
    <x v="632"/>
    <x v="5"/>
    <n v="5"/>
    <n v="601.72"/>
    <s v="921 Main St"/>
    <s v="Gift Card"/>
    <s v="Cancelled"/>
    <s v="TRK54711422"/>
    <n v="5"/>
    <s v="WINTER15"/>
    <x v="0"/>
    <n v="3008.6"/>
  </r>
  <r>
    <x v="633"/>
    <x v="4"/>
    <n v="2"/>
    <n v="259.32"/>
    <s v="117 Main St"/>
    <s v="Gift Card"/>
    <s v="Delivered"/>
    <s v="TRK31633755"/>
    <n v="2"/>
    <s v="WINTER15"/>
    <x v="1"/>
    <n v="518.64"/>
  </r>
  <r>
    <x v="634"/>
    <x v="3"/>
    <n v="3"/>
    <n v="63.68"/>
    <s v="434 Main St"/>
    <s v="Cash"/>
    <s v="Returned"/>
    <s v="TRK40879983"/>
    <n v="6"/>
    <s v="NA"/>
    <x v="3"/>
    <n v="191.04"/>
  </r>
  <r>
    <x v="635"/>
    <x v="5"/>
    <n v="4"/>
    <n v="371.07"/>
    <s v="336 Main St"/>
    <s v="Cash"/>
    <s v="Cancelled"/>
    <s v="TRK92080037"/>
    <n v="7"/>
    <s v="WINTER15"/>
    <x v="3"/>
    <n v="1484.28"/>
  </r>
  <r>
    <x v="636"/>
    <x v="3"/>
    <n v="4"/>
    <n v="306.35000000000002"/>
    <s v="784 Main St"/>
    <s v="Gift Card"/>
    <s v="Shipped"/>
    <s v="TRK23585765"/>
    <n v="7"/>
    <s v="WINTER15"/>
    <x v="1"/>
    <n v="1225.4000000000001"/>
  </r>
  <r>
    <x v="637"/>
    <x v="2"/>
    <n v="4"/>
    <n v="578.27"/>
    <s v="547 Main St"/>
    <s v="Online"/>
    <s v="Delivered"/>
    <s v="TRK76929637"/>
    <n v="9"/>
    <s v="WINTER15"/>
    <x v="2"/>
    <n v="2313.08"/>
  </r>
  <r>
    <x v="638"/>
    <x v="3"/>
    <n v="1"/>
    <n v="529.19000000000005"/>
    <s v="391 Main St"/>
    <s v="Cash"/>
    <s v="Cancelled"/>
    <s v="TRK17415798"/>
    <n v="5"/>
    <s v="NA"/>
    <x v="1"/>
    <n v="529.19000000000005"/>
  </r>
  <r>
    <x v="639"/>
    <x v="3"/>
    <n v="2"/>
    <n v="587.49"/>
    <s v="647 Main St"/>
    <s v="Gift Card"/>
    <s v="Returned"/>
    <s v="TRK24241664"/>
    <n v="6"/>
    <s v="SAVE10"/>
    <x v="1"/>
    <n v="1174.98"/>
  </r>
  <r>
    <x v="640"/>
    <x v="4"/>
    <n v="4"/>
    <n v="567.57000000000005"/>
    <s v="814 Main St"/>
    <s v="Debit Card"/>
    <s v="Pending"/>
    <s v="TRK47386650"/>
    <n v="9"/>
    <s v="WINTER15"/>
    <x v="4"/>
    <n v="2270.2800000000002"/>
  </r>
  <r>
    <x v="641"/>
    <x v="3"/>
    <n v="5"/>
    <n v="85.22"/>
    <s v="527 Main St"/>
    <s v="Credit Card"/>
    <s v="Cancelled"/>
    <s v="TRK10329390"/>
    <n v="7"/>
    <s v="FREESHIP"/>
    <x v="2"/>
    <n v="426.1"/>
  </r>
  <r>
    <x v="642"/>
    <x v="5"/>
    <n v="1"/>
    <n v="438.37"/>
    <s v="647 Main St"/>
    <s v="Cash"/>
    <s v="Cancelled"/>
    <s v="TRK75814880"/>
    <n v="4"/>
    <s v="SAVE10"/>
    <x v="1"/>
    <n v="438.37"/>
  </r>
  <r>
    <x v="643"/>
    <x v="3"/>
    <n v="2"/>
    <n v="366.23"/>
    <s v="961 Main St"/>
    <s v="Cash"/>
    <s v="Shipped"/>
    <s v="TRK62490506"/>
    <n v="2"/>
    <s v="WINTER15"/>
    <x v="2"/>
    <n v="732.46"/>
  </r>
  <r>
    <x v="644"/>
    <x v="5"/>
    <n v="2"/>
    <n v="150.05000000000001"/>
    <s v="727 Main St"/>
    <s v="Credit Card"/>
    <s v="Cancelled"/>
    <s v="TRK68574801"/>
    <n v="4"/>
    <s v="SAVE10"/>
    <x v="3"/>
    <n v="300.10000000000002"/>
  </r>
  <r>
    <x v="645"/>
    <x v="3"/>
    <n v="4"/>
    <n v="498.51"/>
    <s v="804 Main St"/>
    <s v="Debit Card"/>
    <s v="Shipped"/>
    <s v="TRK43262630"/>
    <n v="4"/>
    <s v="SAVE10"/>
    <x v="4"/>
    <n v="1994.04"/>
  </r>
  <r>
    <x v="646"/>
    <x v="6"/>
    <n v="3"/>
    <n v="339.39"/>
    <s v="667 Main St"/>
    <s v="Cash"/>
    <s v="Returned"/>
    <s v="TRK67671316"/>
    <n v="7"/>
    <s v="FREESHIP"/>
    <x v="4"/>
    <n v="1018.17"/>
  </r>
  <r>
    <x v="647"/>
    <x v="0"/>
    <n v="2"/>
    <n v="575.83000000000004"/>
    <s v="182 Main St"/>
    <s v="Online"/>
    <s v="Delivered"/>
    <s v="TRK45902512"/>
    <n v="3"/>
    <s v="WINTER15"/>
    <x v="1"/>
    <n v="1151.6600000000001"/>
  </r>
  <r>
    <x v="648"/>
    <x v="0"/>
    <n v="2"/>
    <n v="642.98"/>
    <s v="153 Main St"/>
    <s v="Debit Card"/>
    <s v="Returned"/>
    <s v="TRK32932093"/>
    <n v="7"/>
    <s v="FREESHIP"/>
    <x v="2"/>
    <n v="1285.96"/>
  </r>
  <r>
    <x v="649"/>
    <x v="6"/>
    <n v="2"/>
    <n v="372.23"/>
    <s v="518 Main St"/>
    <s v="Gift Card"/>
    <s v="Delivered"/>
    <s v="TRK93767278"/>
    <n v="7"/>
    <s v="SAVE10"/>
    <x v="2"/>
    <n v="744.46"/>
  </r>
  <r>
    <x v="650"/>
    <x v="3"/>
    <n v="3"/>
    <n v="646.34"/>
    <s v="429 Main St"/>
    <s v="Debit Card"/>
    <s v="Pending"/>
    <s v="TRK76931118"/>
    <n v="5"/>
    <s v="NA"/>
    <x v="4"/>
    <n v="1939.02"/>
  </r>
  <r>
    <x v="651"/>
    <x v="3"/>
    <n v="5"/>
    <n v="341.84"/>
    <s v="328 Main St"/>
    <s v="Online"/>
    <s v="Shipped"/>
    <s v="TRK94857335"/>
    <n v="8"/>
    <s v="FREESHIP"/>
    <x v="0"/>
    <n v="1709.2"/>
  </r>
  <r>
    <x v="652"/>
    <x v="4"/>
    <n v="3"/>
    <n v="690.3"/>
    <s v="747 Main St"/>
    <s v="Credit Card"/>
    <s v="Shipped"/>
    <s v="TRK12902764"/>
    <n v="6"/>
    <s v="WINTER15"/>
    <x v="4"/>
    <n v="2070.9"/>
  </r>
  <r>
    <x v="653"/>
    <x v="2"/>
    <n v="3"/>
    <n v="382.37"/>
    <s v="863 Main St"/>
    <s v="Debit Card"/>
    <s v="Returned"/>
    <s v="TRK25748100"/>
    <n v="8"/>
    <s v="NA"/>
    <x v="0"/>
    <n v="1147.1099999999999"/>
  </r>
  <r>
    <x v="654"/>
    <x v="3"/>
    <n v="2"/>
    <n v="132.6"/>
    <s v="262 Main St"/>
    <s v="Debit Card"/>
    <s v="Cancelled"/>
    <s v="TRK70711522"/>
    <n v="4"/>
    <s v="WINTER15"/>
    <x v="2"/>
    <n v="265.2"/>
  </r>
  <r>
    <x v="655"/>
    <x v="0"/>
    <n v="2"/>
    <n v="189.06"/>
    <s v="835 Main St"/>
    <s v="Gift Card"/>
    <s v="Shipped"/>
    <s v="TRK85682500"/>
    <n v="7"/>
    <s v="SAVE10"/>
    <x v="3"/>
    <n v="378.12"/>
  </r>
  <r>
    <x v="656"/>
    <x v="2"/>
    <n v="4"/>
    <n v="87.79"/>
    <s v="532 Main St"/>
    <s v="Cash"/>
    <s v="Cancelled"/>
    <s v="TRK33207064"/>
    <n v="6"/>
    <s v="FREESHIP"/>
    <x v="0"/>
    <n v="351.16"/>
  </r>
  <r>
    <x v="657"/>
    <x v="4"/>
    <n v="2"/>
    <n v="46.36"/>
    <s v="670 Main St"/>
    <s v="Gift Card"/>
    <s v="Returned"/>
    <s v="TRK15323191"/>
    <n v="4"/>
    <s v="SAVE10"/>
    <x v="4"/>
    <n v="92.72"/>
  </r>
  <r>
    <x v="658"/>
    <x v="1"/>
    <n v="2"/>
    <n v="642.04"/>
    <s v="964 Main St"/>
    <s v="Gift Card"/>
    <s v="Delivered"/>
    <s v="TRK55000075"/>
    <n v="4"/>
    <s v="WINTER15"/>
    <x v="2"/>
    <n v="1284.08"/>
  </r>
  <r>
    <x v="659"/>
    <x v="3"/>
    <n v="2"/>
    <n v="651.57000000000005"/>
    <s v="933 Main St"/>
    <s v="Debit Card"/>
    <s v="Shipped"/>
    <s v="TRK54084424"/>
    <n v="7"/>
    <s v="WINTER15"/>
    <x v="3"/>
    <n v="1303.1400000000001"/>
  </r>
  <r>
    <x v="660"/>
    <x v="2"/>
    <n v="3"/>
    <n v="424.89"/>
    <s v="116 Main St"/>
    <s v="Debit Card"/>
    <s v="Cancelled"/>
    <s v="TRK86378984"/>
    <n v="6"/>
    <s v="FREESHIP"/>
    <x v="4"/>
    <n v="1274.67"/>
  </r>
  <r>
    <x v="661"/>
    <x v="5"/>
    <n v="3"/>
    <n v="438.89"/>
    <s v="985 Main St"/>
    <s v="Cash"/>
    <s v="Returned"/>
    <s v="TRK85744797"/>
    <n v="3"/>
    <s v="NA"/>
    <x v="3"/>
    <n v="1316.67"/>
  </r>
  <r>
    <x v="662"/>
    <x v="0"/>
    <n v="1"/>
    <n v="72.599999999999994"/>
    <s v="941 Main St"/>
    <s v="Debit Card"/>
    <s v="Cancelled"/>
    <s v="TRK87635135"/>
    <n v="6"/>
    <s v="FREESHIP"/>
    <x v="0"/>
    <n v="72.599999999999994"/>
  </r>
  <r>
    <x v="236"/>
    <x v="5"/>
    <n v="4"/>
    <n v="194.75"/>
    <s v="188 Main St"/>
    <s v="Cash"/>
    <s v="Shipped"/>
    <s v="TRK46492755"/>
    <n v="5"/>
    <s v="NA"/>
    <x v="3"/>
    <n v="779"/>
  </r>
  <r>
    <x v="663"/>
    <x v="2"/>
    <n v="4"/>
    <n v="231.26"/>
    <s v="253 Main St"/>
    <s v="Online"/>
    <s v="Shipped"/>
    <s v="TRK32619935"/>
    <n v="6"/>
    <s v="WINTER15"/>
    <x v="4"/>
    <n v="925.04"/>
  </r>
  <r>
    <x v="664"/>
    <x v="0"/>
    <n v="4"/>
    <n v="327.12"/>
    <s v="788 Main St"/>
    <s v="Credit Card"/>
    <s v="Cancelled"/>
    <s v="TRK45281495"/>
    <n v="4"/>
    <s v="NA"/>
    <x v="2"/>
    <n v="1308.48"/>
  </r>
  <r>
    <x v="665"/>
    <x v="5"/>
    <n v="1"/>
    <n v="466.42"/>
    <s v="172 Main St"/>
    <s v="Gift Card"/>
    <s v="Pending"/>
    <s v="TRK41505339"/>
    <n v="5"/>
    <s v="SAVE10"/>
    <x v="2"/>
    <n v="466.42"/>
  </r>
  <r>
    <x v="666"/>
    <x v="0"/>
    <n v="2"/>
    <n v="253.67"/>
    <s v="981 Main St"/>
    <s v="Cash"/>
    <s v="Returned"/>
    <s v="TRK25226070"/>
    <n v="3"/>
    <s v="WINTER15"/>
    <x v="3"/>
    <n v="507.34"/>
  </r>
  <r>
    <x v="667"/>
    <x v="6"/>
    <n v="1"/>
    <n v="257"/>
    <s v="812 Main St"/>
    <s v="Debit Card"/>
    <s v="Cancelled"/>
    <s v="TRK65694249"/>
    <n v="5"/>
    <s v="NA"/>
    <x v="1"/>
    <n v="257"/>
  </r>
  <r>
    <x v="668"/>
    <x v="6"/>
    <n v="4"/>
    <n v="539.20000000000005"/>
    <s v="747 Main St"/>
    <s v="Credit Card"/>
    <s v="Pending"/>
    <s v="TRK21637540"/>
    <n v="8"/>
    <s v="FREESHIP"/>
    <x v="4"/>
    <n v="2156.8000000000002"/>
  </r>
  <r>
    <x v="669"/>
    <x v="3"/>
    <n v="5"/>
    <n v="50.74"/>
    <s v="737 Main St"/>
    <s v="Gift Card"/>
    <s v="Cancelled"/>
    <s v="TRK88653901"/>
    <n v="7"/>
    <s v="WINTER15"/>
    <x v="4"/>
    <n v="253.7"/>
  </r>
  <r>
    <x v="670"/>
    <x v="1"/>
    <n v="2"/>
    <n v="624.16"/>
    <s v="984 Main St"/>
    <s v="Debit Card"/>
    <s v="Shipped"/>
    <s v="TRK71009446"/>
    <n v="2"/>
    <s v="SAVE10"/>
    <x v="0"/>
    <n v="1248.32"/>
  </r>
  <r>
    <x v="671"/>
    <x v="2"/>
    <n v="2"/>
    <n v="372.92"/>
    <s v="131 Main St"/>
    <s v="Credit Card"/>
    <s v="Delivered"/>
    <s v="TRK95024356"/>
    <n v="7"/>
    <s v="SAVE10"/>
    <x v="2"/>
    <n v="745.84"/>
  </r>
  <r>
    <x v="672"/>
    <x v="5"/>
    <n v="4"/>
    <n v="358.75"/>
    <s v="860 Main St"/>
    <s v="Gift Card"/>
    <s v="Delivered"/>
    <s v="TRK57792939"/>
    <n v="9"/>
    <s v="SAVE10"/>
    <x v="3"/>
    <n v="1435"/>
  </r>
  <r>
    <x v="673"/>
    <x v="6"/>
    <n v="3"/>
    <n v="342.02"/>
    <s v="906 Main St"/>
    <s v="Debit Card"/>
    <s v="Pending"/>
    <s v="TRK90233116"/>
    <n v="5"/>
    <s v="NA"/>
    <x v="2"/>
    <n v="1026.06"/>
  </r>
  <r>
    <x v="674"/>
    <x v="5"/>
    <n v="2"/>
    <n v="422.34"/>
    <s v="985 Main St"/>
    <s v="Credit Card"/>
    <s v="Cancelled"/>
    <s v="TRK44151723"/>
    <n v="4"/>
    <s v="FREESHIP"/>
    <x v="0"/>
    <n v="844.68"/>
  </r>
  <r>
    <x v="675"/>
    <x v="2"/>
    <n v="5"/>
    <n v="22.07"/>
    <s v="179 Main St"/>
    <s v="Online"/>
    <s v="Cancelled"/>
    <s v="TRK78778569"/>
    <n v="7"/>
    <s v="FREESHIP"/>
    <x v="0"/>
    <n v="110.35"/>
  </r>
  <r>
    <x v="676"/>
    <x v="3"/>
    <n v="3"/>
    <n v="163.13"/>
    <s v="457 Main St"/>
    <s v="Gift Card"/>
    <s v="Shipped"/>
    <s v="TRK20553345"/>
    <n v="5"/>
    <s v="WINTER15"/>
    <x v="3"/>
    <n v="489.39"/>
  </r>
  <r>
    <x v="677"/>
    <x v="2"/>
    <n v="3"/>
    <n v="360.66"/>
    <s v="304 Main St"/>
    <s v="Online"/>
    <s v="Returned"/>
    <s v="TRK66106697"/>
    <n v="5"/>
    <s v="FREESHIP"/>
    <x v="0"/>
    <n v="1081.98"/>
  </r>
  <r>
    <x v="678"/>
    <x v="0"/>
    <n v="3"/>
    <n v="463.39"/>
    <s v="694 Main St"/>
    <s v="Credit Card"/>
    <s v="Returned"/>
    <s v="TRK16953491"/>
    <n v="3"/>
    <s v="NA"/>
    <x v="3"/>
    <n v="1390.17"/>
  </r>
  <r>
    <x v="679"/>
    <x v="2"/>
    <n v="1"/>
    <n v="155.27000000000001"/>
    <s v="548 Main St"/>
    <s v="Debit Card"/>
    <s v="Shipped"/>
    <s v="TRK47300502"/>
    <n v="6"/>
    <s v="NA"/>
    <x v="2"/>
    <n v="155.27000000000001"/>
  </r>
  <r>
    <x v="680"/>
    <x v="0"/>
    <n v="3"/>
    <n v="509.42"/>
    <s v="449 Main St"/>
    <s v="Credit Card"/>
    <s v="Cancelled"/>
    <s v="TRK91729086"/>
    <n v="5"/>
    <s v="FREESHIP"/>
    <x v="4"/>
    <n v="1528.26"/>
  </r>
  <r>
    <x v="681"/>
    <x v="6"/>
    <n v="4"/>
    <n v="652.48"/>
    <s v="887 Main St"/>
    <s v="Cash"/>
    <s v="Pending"/>
    <s v="TRK23554043"/>
    <n v="5"/>
    <s v="FREESHIP"/>
    <x v="0"/>
    <n v="2609.92"/>
  </r>
  <r>
    <x v="682"/>
    <x v="4"/>
    <n v="4"/>
    <n v="34.840000000000003"/>
    <s v="288 Main St"/>
    <s v="Credit Card"/>
    <s v="Shipped"/>
    <s v="TRK64353241"/>
    <n v="8"/>
    <s v="NA"/>
    <x v="2"/>
    <n v="139.36000000000001"/>
  </r>
  <r>
    <x v="683"/>
    <x v="6"/>
    <n v="1"/>
    <n v="234.37"/>
    <s v="638 Main St"/>
    <s v="Debit Card"/>
    <s v="Shipped"/>
    <s v="TRK10276565"/>
    <n v="5"/>
    <s v="FREESHIP"/>
    <x v="2"/>
    <n v="234.37"/>
  </r>
  <r>
    <x v="684"/>
    <x v="6"/>
    <n v="3"/>
    <n v="53.6"/>
    <s v="525 Main St"/>
    <s v="Cash"/>
    <s v="Pending"/>
    <s v="TRK59112382"/>
    <n v="4"/>
    <s v="WINTER15"/>
    <x v="3"/>
    <n v="160.80000000000001"/>
  </r>
  <r>
    <x v="685"/>
    <x v="2"/>
    <n v="1"/>
    <n v="332.09"/>
    <s v="408 Main St"/>
    <s v="Gift Card"/>
    <s v="Returned"/>
    <s v="TRK68845230"/>
    <n v="5"/>
    <s v="FREESHIP"/>
    <x v="0"/>
    <n v="332.09"/>
  </r>
  <r>
    <x v="686"/>
    <x v="0"/>
    <n v="4"/>
    <n v="593.22"/>
    <s v="154 Main St"/>
    <s v="Credit Card"/>
    <s v="Cancelled"/>
    <s v="TRK36415742"/>
    <n v="8"/>
    <s v="WINTER15"/>
    <x v="3"/>
    <n v="2372.88"/>
  </r>
  <r>
    <x v="687"/>
    <x v="2"/>
    <n v="2"/>
    <n v="444.84"/>
    <s v="787 Main St"/>
    <s v="Online"/>
    <s v="Shipped"/>
    <s v="TRK56967415"/>
    <n v="7"/>
    <s v="NA"/>
    <x v="3"/>
    <n v="889.68"/>
  </r>
  <r>
    <x v="688"/>
    <x v="0"/>
    <n v="1"/>
    <n v="24.48"/>
    <s v="128 Main St"/>
    <s v="Gift Card"/>
    <s v="Returned"/>
    <s v="TRK88666721"/>
    <n v="1"/>
    <s v="NA"/>
    <x v="0"/>
    <n v="24.48"/>
  </r>
  <r>
    <x v="689"/>
    <x v="5"/>
    <n v="3"/>
    <n v="239.08"/>
    <s v="396 Main St"/>
    <s v="Cash"/>
    <s v="Shipped"/>
    <s v="TRK57376416"/>
    <n v="8"/>
    <s v="NA"/>
    <x v="4"/>
    <n v="717.24"/>
  </r>
  <r>
    <x v="690"/>
    <x v="6"/>
    <n v="5"/>
    <n v="196.84"/>
    <s v="319 Main St"/>
    <s v="Credit Card"/>
    <s v="Delivered"/>
    <s v="TRK68347402"/>
    <n v="5"/>
    <s v="WINTER15"/>
    <x v="0"/>
    <n v="984.2"/>
  </r>
  <r>
    <x v="691"/>
    <x v="0"/>
    <n v="1"/>
    <n v="176.58"/>
    <s v="674 Main St"/>
    <s v="Debit Card"/>
    <s v="Returned"/>
    <s v="TRK10267127"/>
    <n v="4"/>
    <s v="NA"/>
    <x v="1"/>
    <n v="176.58"/>
  </r>
  <r>
    <x v="692"/>
    <x v="4"/>
    <n v="4"/>
    <n v="666.52"/>
    <s v="619 Main St"/>
    <s v="Cash"/>
    <s v="Shipped"/>
    <s v="TRK32287092"/>
    <n v="8"/>
    <s v="FREESHIP"/>
    <x v="2"/>
    <n v="2666.08"/>
  </r>
  <r>
    <x v="693"/>
    <x v="4"/>
    <n v="5"/>
    <n v="101.3"/>
    <s v="553 Main St"/>
    <s v="Online"/>
    <s v="Shipped"/>
    <s v="TRK48839788"/>
    <n v="7"/>
    <s v="FREESHIP"/>
    <x v="2"/>
    <n v="506.5"/>
  </r>
  <r>
    <x v="694"/>
    <x v="3"/>
    <n v="4"/>
    <n v="151.19999999999999"/>
    <s v="965 Main St"/>
    <s v="Gift Card"/>
    <s v="Pending"/>
    <s v="TRK38572927"/>
    <n v="9"/>
    <s v="WINTER15"/>
    <x v="3"/>
    <n v="604.79999999999995"/>
  </r>
  <r>
    <x v="695"/>
    <x v="4"/>
    <n v="5"/>
    <n v="94.85"/>
    <s v="788 Main St"/>
    <s v="Cash"/>
    <s v="Shipped"/>
    <s v="TRK45025840"/>
    <n v="6"/>
    <s v="WINTER15"/>
    <x v="2"/>
    <n v="474.25"/>
  </r>
  <r>
    <x v="696"/>
    <x v="5"/>
    <n v="2"/>
    <n v="388.22"/>
    <s v="169 Main St"/>
    <s v="Cash"/>
    <s v="Delivered"/>
    <s v="TRK48658394"/>
    <n v="2"/>
    <s v="WINTER15"/>
    <x v="0"/>
    <n v="776.44"/>
  </r>
  <r>
    <x v="697"/>
    <x v="5"/>
    <n v="3"/>
    <n v="614.15"/>
    <s v="897 Main St"/>
    <s v="Gift Card"/>
    <s v="Cancelled"/>
    <s v="TRK84088900"/>
    <n v="3"/>
    <s v="NA"/>
    <x v="3"/>
    <n v="1842.45"/>
  </r>
  <r>
    <x v="698"/>
    <x v="5"/>
    <n v="2"/>
    <n v="92.91"/>
    <s v="555 Main St"/>
    <s v="Cash"/>
    <s v="Returned"/>
    <s v="TRK30198779"/>
    <n v="3"/>
    <s v="WINTER15"/>
    <x v="0"/>
    <n v="185.82"/>
  </r>
  <r>
    <x v="699"/>
    <x v="0"/>
    <n v="3"/>
    <n v="92.22"/>
    <s v="115 Main St"/>
    <s v="Credit Card"/>
    <s v="Delivered"/>
    <s v="TRK90519490"/>
    <n v="5"/>
    <s v="FREESHIP"/>
    <x v="2"/>
    <n v="276.66000000000003"/>
  </r>
  <r>
    <x v="700"/>
    <x v="4"/>
    <n v="3"/>
    <n v="562.54999999999995"/>
    <s v="154 Main St"/>
    <s v="Debit Card"/>
    <s v="Returned"/>
    <s v="TRK43589369"/>
    <n v="6"/>
    <s v="NA"/>
    <x v="2"/>
    <n v="1687.65"/>
  </r>
  <r>
    <x v="701"/>
    <x v="6"/>
    <n v="1"/>
    <n v="92.79"/>
    <s v="799 Main St"/>
    <s v="Cash"/>
    <s v="Pending"/>
    <s v="TRK47665103"/>
    <n v="3"/>
    <s v="WINTER15"/>
    <x v="2"/>
    <n v="92.79"/>
  </r>
  <r>
    <x v="702"/>
    <x v="6"/>
    <n v="4"/>
    <n v="30.27"/>
    <s v="819 Main St"/>
    <s v="Online"/>
    <s v="Delivered"/>
    <s v="TRK87261034"/>
    <n v="9"/>
    <s v="FREESHIP"/>
    <x v="4"/>
    <n v="121.08"/>
  </r>
  <r>
    <x v="703"/>
    <x v="0"/>
    <n v="2"/>
    <n v="49.08"/>
    <s v="420 Main St"/>
    <s v="Debit Card"/>
    <s v="Returned"/>
    <s v="TRK20214786"/>
    <n v="7"/>
    <s v="FREESHIP"/>
    <x v="0"/>
    <n v="98.16"/>
  </r>
  <r>
    <x v="704"/>
    <x v="6"/>
    <n v="5"/>
    <n v="228.09"/>
    <s v="969 Main St"/>
    <s v="Gift Card"/>
    <s v="Returned"/>
    <s v="TRK97693301"/>
    <n v="9"/>
    <s v="FREESHIP"/>
    <x v="3"/>
    <n v="1140.45"/>
  </r>
  <r>
    <x v="705"/>
    <x v="3"/>
    <n v="4"/>
    <n v="650.04"/>
    <s v="989 Main St"/>
    <s v="Gift Card"/>
    <s v="Cancelled"/>
    <s v="TRK17628852"/>
    <n v="6"/>
    <s v="SAVE10"/>
    <x v="3"/>
    <n v="2600.16"/>
  </r>
  <r>
    <x v="706"/>
    <x v="4"/>
    <n v="1"/>
    <n v="665.11"/>
    <s v="788 Main St"/>
    <s v="Cash"/>
    <s v="Pending"/>
    <s v="TRK20481215"/>
    <n v="3"/>
    <s v="FREESHIP"/>
    <x v="0"/>
    <n v="665.11"/>
  </r>
  <r>
    <x v="707"/>
    <x v="6"/>
    <n v="1"/>
    <n v="386.03"/>
    <s v="855 Main St"/>
    <s v="Online"/>
    <s v="Pending"/>
    <s v="TRK37504692"/>
    <n v="4"/>
    <s v="FREESHIP"/>
    <x v="4"/>
    <n v="386.03"/>
  </r>
  <r>
    <x v="708"/>
    <x v="5"/>
    <n v="5"/>
    <n v="21.54"/>
    <s v="113 Main St"/>
    <s v="Gift Card"/>
    <s v="Returned"/>
    <s v="TRK19086608"/>
    <n v="10"/>
    <s v="NA"/>
    <x v="4"/>
    <n v="107.7"/>
  </r>
  <r>
    <x v="709"/>
    <x v="2"/>
    <n v="2"/>
    <n v="475.78"/>
    <s v="632 Main St"/>
    <s v="Online"/>
    <s v="Shipped"/>
    <s v="TRK90764894"/>
    <n v="2"/>
    <s v="WINTER15"/>
    <x v="4"/>
    <n v="951.56"/>
  </r>
  <r>
    <x v="557"/>
    <x v="2"/>
    <n v="2"/>
    <n v="68.400000000000006"/>
    <s v="993 Main St"/>
    <s v="Gift Card"/>
    <s v="Pending"/>
    <s v="TRK10513339"/>
    <n v="7"/>
    <s v="FREESHIP"/>
    <x v="2"/>
    <n v="136.80000000000001"/>
  </r>
  <r>
    <x v="710"/>
    <x v="2"/>
    <n v="4"/>
    <n v="532.49"/>
    <s v="638 Main St"/>
    <s v="Online"/>
    <s v="Cancelled"/>
    <s v="TRK31705278"/>
    <n v="6"/>
    <s v="SAVE10"/>
    <x v="3"/>
    <n v="2129.96"/>
  </r>
  <r>
    <x v="711"/>
    <x v="5"/>
    <n v="1"/>
    <n v="51.73"/>
    <s v="278 Main St"/>
    <s v="Debit Card"/>
    <s v="Pending"/>
    <s v="TRK23612847"/>
    <n v="1"/>
    <s v="FREESHIP"/>
    <x v="3"/>
    <n v="51.73"/>
  </r>
  <r>
    <x v="712"/>
    <x v="4"/>
    <n v="3"/>
    <n v="653.63"/>
    <s v="281 Main St"/>
    <s v="Online"/>
    <s v="Delivered"/>
    <s v="TRK96161062"/>
    <n v="7"/>
    <s v="FREESHIP"/>
    <x v="2"/>
    <n v="1960.89"/>
  </r>
  <r>
    <x v="713"/>
    <x v="3"/>
    <n v="3"/>
    <n v="454.29"/>
    <s v="891 Main St"/>
    <s v="Credit Card"/>
    <s v="Pending"/>
    <s v="TRK25466842"/>
    <n v="4"/>
    <s v="WINTER15"/>
    <x v="4"/>
    <n v="1362.87"/>
  </r>
  <r>
    <x v="714"/>
    <x v="3"/>
    <n v="3"/>
    <n v="122.11"/>
    <s v="707 Main St"/>
    <s v="Online"/>
    <s v="Delivered"/>
    <s v="TRK31143760"/>
    <n v="4"/>
    <s v="WINTER15"/>
    <x v="2"/>
    <n v="366.33"/>
  </r>
  <r>
    <x v="715"/>
    <x v="5"/>
    <n v="4"/>
    <n v="64.739999999999995"/>
    <s v="718 Main St"/>
    <s v="Gift Card"/>
    <s v="Cancelled"/>
    <s v="TRK91791367"/>
    <n v="8"/>
    <s v="SAVE10"/>
    <x v="4"/>
    <n v="258.95999999999998"/>
  </r>
  <r>
    <x v="716"/>
    <x v="5"/>
    <n v="2"/>
    <n v="681.06"/>
    <s v="703 Main St"/>
    <s v="Debit Card"/>
    <s v="Shipped"/>
    <s v="TRK86403837"/>
    <n v="3"/>
    <s v="FREESHIP"/>
    <x v="3"/>
    <n v="1362.12"/>
  </r>
  <r>
    <x v="717"/>
    <x v="6"/>
    <n v="5"/>
    <n v="128.94999999999999"/>
    <s v="305 Main St"/>
    <s v="Cash"/>
    <s v="Pending"/>
    <s v="TRK98506513"/>
    <n v="10"/>
    <s v="FREESHIP"/>
    <x v="0"/>
    <n v="644.75"/>
  </r>
  <r>
    <x v="718"/>
    <x v="6"/>
    <n v="2"/>
    <n v="118.59"/>
    <s v="890 Main St"/>
    <s v="Credit Card"/>
    <s v="Delivered"/>
    <s v="TRK56110689"/>
    <n v="2"/>
    <s v="NA"/>
    <x v="2"/>
    <n v="237.18"/>
  </r>
  <r>
    <x v="719"/>
    <x v="4"/>
    <n v="1"/>
    <n v="95.1"/>
    <s v="516 Main St"/>
    <s v="Gift Card"/>
    <s v="Pending"/>
    <s v="TRK49719458"/>
    <n v="1"/>
    <s v="WINTER15"/>
    <x v="0"/>
    <n v="95.1"/>
  </r>
  <r>
    <x v="720"/>
    <x v="6"/>
    <n v="3"/>
    <n v="54.95"/>
    <s v="385 Main St"/>
    <s v="Cash"/>
    <s v="Returned"/>
    <s v="TRK50933724"/>
    <n v="8"/>
    <s v="SAVE10"/>
    <x v="1"/>
    <n v="164.85"/>
  </r>
  <r>
    <x v="721"/>
    <x v="4"/>
    <n v="3"/>
    <n v="136.97"/>
    <s v="326 Main St"/>
    <s v="Credit Card"/>
    <s v="Returned"/>
    <s v="TRK19348078"/>
    <n v="4"/>
    <s v="FREESHIP"/>
    <x v="1"/>
    <n v="410.91"/>
  </r>
  <r>
    <x v="722"/>
    <x v="3"/>
    <n v="2"/>
    <n v="194.85"/>
    <s v="372 Main St"/>
    <s v="Gift Card"/>
    <s v="Returned"/>
    <s v="TRK45670926"/>
    <n v="5"/>
    <s v="NA"/>
    <x v="1"/>
    <n v="389.7"/>
  </r>
  <r>
    <x v="723"/>
    <x v="5"/>
    <n v="4"/>
    <n v="583.02"/>
    <s v="338 Main St"/>
    <s v="Online"/>
    <s v="Delivered"/>
    <s v="TRK94006117"/>
    <n v="4"/>
    <s v="FREESHIP"/>
    <x v="3"/>
    <n v="2332.08"/>
  </r>
  <r>
    <x v="724"/>
    <x v="3"/>
    <n v="5"/>
    <n v="95.75"/>
    <s v="379 Main St"/>
    <s v="Online"/>
    <s v="Shipped"/>
    <s v="TRK92745947"/>
    <n v="8"/>
    <s v="SAVE10"/>
    <x v="0"/>
    <n v="478.75"/>
  </r>
  <r>
    <x v="725"/>
    <x v="6"/>
    <n v="4"/>
    <n v="325.76"/>
    <s v="827 Main St"/>
    <s v="Gift Card"/>
    <s v="Shipped"/>
    <s v="TRK79793300"/>
    <n v="8"/>
    <s v="WINTER15"/>
    <x v="2"/>
    <n v="1303.04"/>
  </r>
  <r>
    <x v="726"/>
    <x v="1"/>
    <n v="4"/>
    <n v="186.41"/>
    <s v="819 Main St"/>
    <s v="Gift Card"/>
    <s v="Pending"/>
    <s v="TRK92794872"/>
    <n v="6"/>
    <s v="SAVE10"/>
    <x v="4"/>
    <n v="745.64"/>
  </r>
  <r>
    <x v="727"/>
    <x v="1"/>
    <n v="1"/>
    <n v="474.6"/>
    <s v="407 Main St"/>
    <s v="Debit Card"/>
    <s v="Delivered"/>
    <s v="TRK91943923"/>
    <n v="4"/>
    <s v="SAVE10"/>
    <x v="2"/>
    <n v="474.6"/>
  </r>
  <r>
    <x v="728"/>
    <x v="4"/>
    <n v="5"/>
    <n v="584.46"/>
    <s v="308 Main St"/>
    <s v="Credit Card"/>
    <s v="Returned"/>
    <s v="TRK48292586"/>
    <n v="8"/>
    <s v="NA"/>
    <x v="2"/>
    <n v="2922.3"/>
  </r>
  <r>
    <x v="729"/>
    <x v="5"/>
    <n v="1"/>
    <n v="132.05000000000001"/>
    <s v="787 Main St"/>
    <s v="Online"/>
    <s v="Delivered"/>
    <s v="TRK42187776"/>
    <n v="2"/>
    <s v="NA"/>
    <x v="4"/>
    <n v="132.05000000000001"/>
  </r>
  <r>
    <x v="730"/>
    <x v="2"/>
    <n v="4"/>
    <n v="494.84"/>
    <s v="694 Main St"/>
    <s v="Cash"/>
    <s v="Returned"/>
    <s v="TRK87991608"/>
    <n v="8"/>
    <s v="SAVE10"/>
    <x v="2"/>
    <n v="1979.36"/>
  </r>
  <r>
    <x v="731"/>
    <x v="4"/>
    <n v="4"/>
    <n v="224.61"/>
    <s v="630 Main St"/>
    <s v="Credit Card"/>
    <s v="Returned"/>
    <s v="TRK19767885"/>
    <n v="6"/>
    <s v="WINTER15"/>
    <x v="3"/>
    <n v="898.44"/>
  </r>
  <r>
    <x v="732"/>
    <x v="0"/>
    <n v="4"/>
    <n v="44.07"/>
    <s v="359 Main St"/>
    <s v="Debit Card"/>
    <s v="Pending"/>
    <s v="TRK13443264"/>
    <n v="6"/>
    <s v="NA"/>
    <x v="2"/>
    <n v="176.28"/>
  </r>
  <r>
    <x v="733"/>
    <x v="0"/>
    <n v="5"/>
    <n v="418.53"/>
    <s v="696 Main St"/>
    <s v="Credit Card"/>
    <s v="Pending"/>
    <s v="TRK66186874"/>
    <n v="6"/>
    <s v="FREESHIP"/>
    <x v="4"/>
    <n v="2092.65"/>
  </r>
  <r>
    <x v="734"/>
    <x v="1"/>
    <n v="4"/>
    <n v="532.87"/>
    <s v="972 Main St"/>
    <s v="Cash"/>
    <s v="Pending"/>
    <s v="TRK25501930"/>
    <n v="9"/>
    <s v="FREESHIP"/>
    <x v="0"/>
    <n v="2131.48"/>
  </r>
  <r>
    <x v="735"/>
    <x v="1"/>
    <n v="2"/>
    <n v="485.37"/>
    <s v="264 Main St"/>
    <s v="Credit Card"/>
    <s v="Shipped"/>
    <s v="TRK44998396"/>
    <n v="5"/>
    <s v="SAVE10"/>
    <x v="2"/>
    <n v="970.74"/>
  </r>
  <r>
    <x v="736"/>
    <x v="1"/>
    <n v="4"/>
    <n v="386.73"/>
    <s v="513 Main St"/>
    <s v="Cash"/>
    <s v="Delivered"/>
    <s v="TRK58979275"/>
    <n v="4"/>
    <s v="SAVE10"/>
    <x v="3"/>
    <n v="1546.92"/>
  </r>
  <r>
    <x v="737"/>
    <x v="6"/>
    <n v="2"/>
    <n v="377.47"/>
    <s v="433 Main St"/>
    <s v="Cash"/>
    <s v="Pending"/>
    <s v="TRK76154554"/>
    <n v="7"/>
    <s v="NA"/>
    <x v="4"/>
    <n v="754.94"/>
  </r>
  <r>
    <x v="738"/>
    <x v="0"/>
    <n v="5"/>
    <n v="332.64"/>
    <s v="945 Main St"/>
    <s v="Gift Card"/>
    <s v="Delivered"/>
    <s v="TRK87305883"/>
    <n v="10"/>
    <s v="NA"/>
    <x v="1"/>
    <n v="1663.2"/>
  </r>
  <r>
    <x v="739"/>
    <x v="5"/>
    <n v="3"/>
    <n v="699.93"/>
    <s v="726 Main St"/>
    <s v="Cash"/>
    <s v="Returned"/>
    <s v="TRK48051468"/>
    <n v="7"/>
    <s v="SAVE10"/>
    <x v="4"/>
    <n v="2099.79"/>
  </r>
  <r>
    <x v="740"/>
    <x v="0"/>
    <n v="1"/>
    <n v="576.35"/>
    <s v="549 Main St"/>
    <s v="Gift Card"/>
    <s v="Returned"/>
    <s v="TRK87090813"/>
    <n v="1"/>
    <s v="WINTER15"/>
    <x v="0"/>
    <n v="576.35"/>
  </r>
  <r>
    <x v="741"/>
    <x v="2"/>
    <n v="2"/>
    <n v="461.37"/>
    <s v="200 Main St"/>
    <s v="Cash"/>
    <s v="Delivered"/>
    <s v="TRK98725693"/>
    <n v="5"/>
    <s v="SAVE10"/>
    <x v="4"/>
    <n v="922.74"/>
  </r>
  <r>
    <x v="742"/>
    <x v="4"/>
    <n v="4"/>
    <n v="111.3"/>
    <s v="364 Main St"/>
    <s v="Debit Card"/>
    <s v="Pending"/>
    <s v="TRK89906749"/>
    <n v="7"/>
    <s v="FREESHIP"/>
    <x v="2"/>
    <n v="445.2"/>
  </r>
  <r>
    <x v="743"/>
    <x v="6"/>
    <n v="3"/>
    <n v="661.89"/>
    <s v="551 Main St"/>
    <s v="Online"/>
    <s v="Cancelled"/>
    <s v="TRK76287027"/>
    <n v="6"/>
    <s v="WINTER15"/>
    <x v="1"/>
    <n v="1985.67"/>
  </r>
  <r>
    <x v="744"/>
    <x v="2"/>
    <n v="2"/>
    <n v="259.58"/>
    <s v="940 Main St"/>
    <s v="Debit Card"/>
    <s v="Delivered"/>
    <s v="TRK26500181"/>
    <n v="7"/>
    <s v="FREESHIP"/>
    <x v="0"/>
    <n v="519.16"/>
  </r>
  <r>
    <x v="745"/>
    <x v="2"/>
    <n v="3"/>
    <n v="70.81"/>
    <s v="249 Main St"/>
    <s v="Credit Card"/>
    <s v="Shipped"/>
    <s v="TRK37667360"/>
    <n v="8"/>
    <s v="FREESHIP"/>
    <x v="1"/>
    <n v="212.43"/>
  </r>
  <r>
    <x v="746"/>
    <x v="5"/>
    <n v="1"/>
    <n v="518.39"/>
    <s v="997 Main St"/>
    <s v="Debit Card"/>
    <s v="Pending"/>
    <s v="TRK88797170"/>
    <n v="4"/>
    <s v="FREESHIP"/>
    <x v="0"/>
    <n v="518.39"/>
  </r>
  <r>
    <x v="747"/>
    <x v="2"/>
    <n v="4"/>
    <n v="145.41"/>
    <s v="637 Main St"/>
    <s v="Credit Card"/>
    <s v="Returned"/>
    <s v="TRK10295115"/>
    <n v="7"/>
    <s v="FREESHIP"/>
    <x v="2"/>
    <n v="581.64"/>
  </r>
  <r>
    <x v="748"/>
    <x v="2"/>
    <n v="2"/>
    <n v="599.86"/>
    <s v="455 Main St"/>
    <s v="Gift Card"/>
    <s v="Pending"/>
    <s v="TRK76960854"/>
    <n v="7"/>
    <s v="FREESHIP"/>
    <x v="3"/>
    <n v="1199.72"/>
  </r>
  <r>
    <x v="749"/>
    <x v="1"/>
    <n v="4"/>
    <n v="429.37"/>
    <s v="299 Main St"/>
    <s v="Credit Card"/>
    <s v="Delivered"/>
    <s v="TRK33305694"/>
    <n v="8"/>
    <s v="FREESHIP"/>
    <x v="4"/>
    <n v="1717.48"/>
  </r>
  <r>
    <x v="750"/>
    <x v="1"/>
    <n v="2"/>
    <n v="241.49"/>
    <s v="864 Main St"/>
    <s v="Debit Card"/>
    <s v="Returned"/>
    <s v="TRK72697796"/>
    <n v="7"/>
    <s v="FREESHIP"/>
    <x v="0"/>
    <n v="482.98"/>
  </r>
  <r>
    <x v="751"/>
    <x v="4"/>
    <n v="2"/>
    <n v="452.05"/>
    <s v="983 Main St"/>
    <s v="Credit Card"/>
    <s v="Returned"/>
    <s v="TRK52804097"/>
    <n v="3"/>
    <s v="WINTER15"/>
    <x v="2"/>
    <n v="904.1"/>
  </r>
  <r>
    <x v="752"/>
    <x v="6"/>
    <n v="3"/>
    <n v="336.71"/>
    <s v="658 Main St"/>
    <s v="Credit Card"/>
    <s v="Pending"/>
    <s v="TRK60515972"/>
    <n v="4"/>
    <s v="NA"/>
    <x v="2"/>
    <n v="1010.13"/>
  </r>
  <r>
    <x v="753"/>
    <x v="1"/>
    <n v="1"/>
    <n v="283.69"/>
    <s v="202 Main St"/>
    <s v="Gift Card"/>
    <s v="Shipped"/>
    <s v="TRK93163682"/>
    <n v="6"/>
    <s v="NA"/>
    <x v="4"/>
    <n v="283.69"/>
  </r>
  <r>
    <x v="754"/>
    <x v="6"/>
    <n v="1"/>
    <n v="157.72"/>
    <s v="597 Main St"/>
    <s v="Debit Card"/>
    <s v="Delivered"/>
    <s v="TRK91105190"/>
    <n v="2"/>
    <s v="FREESHIP"/>
    <x v="4"/>
    <n v="157.72"/>
  </r>
  <r>
    <x v="755"/>
    <x v="2"/>
    <n v="3"/>
    <n v="624.84"/>
    <s v="917 Main St"/>
    <s v="Credit Card"/>
    <s v="Cancelled"/>
    <s v="TRK57148510"/>
    <n v="8"/>
    <s v="WINTER15"/>
    <x v="3"/>
    <n v="1874.52"/>
  </r>
  <r>
    <x v="756"/>
    <x v="6"/>
    <n v="3"/>
    <n v="308.01"/>
    <s v="366 Main St"/>
    <s v="Cash"/>
    <s v="Pending"/>
    <s v="TRK91784124"/>
    <n v="3"/>
    <s v="FREESHIP"/>
    <x v="3"/>
    <n v="924.03"/>
  </r>
  <r>
    <x v="757"/>
    <x v="6"/>
    <n v="1"/>
    <n v="39.56"/>
    <s v="283 Main St"/>
    <s v="Debit Card"/>
    <s v="Cancelled"/>
    <s v="TRK73324346"/>
    <n v="5"/>
    <s v="NA"/>
    <x v="4"/>
    <n v="39.56"/>
  </r>
  <r>
    <x v="758"/>
    <x v="6"/>
    <n v="4"/>
    <n v="37.76"/>
    <s v="217 Main St"/>
    <s v="Debit Card"/>
    <s v="Delivered"/>
    <s v="TRK67789367"/>
    <n v="7"/>
    <s v="NA"/>
    <x v="4"/>
    <n v="151.04"/>
  </r>
  <r>
    <x v="759"/>
    <x v="1"/>
    <n v="3"/>
    <n v="76.959999999999994"/>
    <s v="611 Main St"/>
    <s v="Cash"/>
    <s v="Returned"/>
    <s v="TRK97621403"/>
    <n v="8"/>
    <s v="FREESHIP"/>
    <x v="2"/>
    <n v="230.88"/>
  </r>
  <r>
    <x v="760"/>
    <x v="5"/>
    <n v="1"/>
    <n v="569.96"/>
    <s v="533 Main St"/>
    <s v="Online"/>
    <s v="Delivered"/>
    <s v="TRK30915955"/>
    <n v="4"/>
    <s v="FREESHIP"/>
    <x v="2"/>
    <n v="569.96"/>
  </r>
  <r>
    <x v="761"/>
    <x v="5"/>
    <n v="5"/>
    <n v="627.42999999999995"/>
    <s v="806 Main St"/>
    <s v="Credit Card"/>
    <s v="Cancelled"/>
    <s v="TRK14016163"/>
    <n v="10"/>
    <s v="FREESHIP"/>
    <x v="2"/>
    <n v="3137.15"/>
  </r>
  <r>
    <x v="762"/>
    <x v="5"/>
    <n v="2"/>
    <n v="534.91"/>
    <s v="281 Main St"/>
    <s v="Debit Card"/>
    <s v="Returned"/>
    <s v="TRK96249043"/>
    <n v="5"/>
    <s v="SAVE10"/>
    <x v="4"/>
    <n v="1069.82"/>
  </r>
  <r>
    <x v="763"/>
    <x v="4"/>
    <n v="2"/>
    <n v="278.88"/>
    <s v="494 Main St"/>
    <s v="Debit Card"/>
    <s v="Pending"/>
    <s v="TRK99985340"/>
    <n v="3"/>
    <s v="FREESHIP"/>
    <x v="1"/>
    <n v="557.76"/>
  </r>
  <r>
    <x v="764"/>
    <x v="2"/>
    <n v="2"/>
    <n v="323.22000000000003"/>
    <s v="517 Main St"/>
    <s v="Credit Card"/>
    <s v="Delivered"/>
    <s v="TRK80436037"/>
    <n v="7"/>
    <s v="NA"/>
    <x v="0"/>
    <n v="646.44000000000005"/>
  </r>
  <r>
    <x v="765"/>
    <x v="2"/>
    <n v="5"/>
    <n v="653.46"/>
    <s v="165 Main St"/>
    <s v="Cash"/>
    <s v="Cancelled"/>
    <s v="TRK28918815"/>
    <n v="9"/>
    <s v="WINTER15"/>
    <x v="2"/>
    <n v="3267.3"/>
  </r>
  <r>
    <x v="766"/>
    <x v="4"/>
    <n v="4"/>
    <n v="678.55"/>
    <s v="568 Main St"/>
    <s v="Cash"/>
    <s v="Delivered"/>
    <s v="TRK98691410"/>
    <n v="5"/>
    <s v="NA"/>
    <x v="2"/>
    <n v="2714.2"/>
  </r>
  <r>
    <x v="767"/>
    <x v="6"/>
    <n v="1"/>
    <n v="314.38"/>
    <s v="227 Main St"/>
    <s v="Online"/>
    <s v="Returned"/>
    <s v="TRK67733444"/>
    <n v="6"/>
    <s v="NA"/>
    <x v="4"/>
    <n v="314.38"/>
  </r>
  <r>
    <x v="768"/>
    <x v="1"/>
    <n v="3"/>
    <n v="692.44"/>
    <s v="272 Main St"/>
    <s v="Debit Card"/>
    <s v="Cancelled"/>
    <s v="TRK82236408"/>
    <n v="8"/>
    <s v="FREESHIP"/>
    <x v="4"/>
    <n v="2077.3200000000002"/>
  </r>
  <r>
    <x v="769"/>
    <x v="0"/>
    <n v="1"/>
    <n v="604.87"/>
    <s v="461 Main St"/>
    <s v="Online"/>
    <s v="Delivered"/>
    <s v="TRK25799478"/>
    <n v="4"/>
    <s v="NA"/>
    <x v="0"/>
    <n v="604.87"/>
  </r>
  <r>
    <x v="770"/>
    <x v="1"/>
    <n v="2"/>
    <n v="512.33000000000004"/>
    <s v="415 Main St"/>
    <s v="Cash"/>
    <s v="Cancelled"/>
    <s v="TRK48904015"/>
    <n v="7"/>
    <s v="NA"/>
    <x v="3"/>
    <n v="1024.6600000000001"/>
  </r>
  <r>
    <x v="771"/>
    <x v="3"/>
    <n v="3"/>
    <n v="20.54"/>
    <s v="257 Main St"/>
    <s v="Credit Card"/>
    <s v="Cancelled"/>
    <s v="TRK42266846"/>
    <n v="3"/>
    <s v="FREESHIP"/>
    <x v="0"/>
    <n v="61.62"/>
  </r>
  <r>
    <x v="772"/>
    <x v="1"/>
    <n v="2"/>
    <n v="625.22"/>
    <s v="569 Main St"/>
    <s v="Online"/>
    <s v="Cancelled"/>
    <s v="TRK22051900"/>
    <n v="5"/>
    <s v="NA"/>
    <x v="4"/>
    <n v="1250.44"/>
  </r>
  <r>
    <x v="773"/>
    <x v="2"/>
    <n v="1"/>
    <n v="21.19"/>
    <s v="482 Main St"/>
    <s v="Cash"/>
    <s v="Returned"/>
    <s v="TRK10446197"/>
    <n v="5"/>
    <s v="WINTER15"/>
    <x v="4"/>
    <n v="21.19"/>
  </r>
  <r>
    <x v="774"/>
    <x v="3"/>
    <n v="5"/>
    <n v="64.489999999999995"/>
    <s v="633 Main St"/>
    <s v="Online"/>
    <s v="Cancelled"/>
    <s v="TRK41967983"/>
    <n v="7"/>
    <s v="NA"/>
    <x v="3"/>
    <n v="322.45"/>
  </r>
  <r>
    <x v="775"/>
    <x v="5"/>
    <n v="4"/>
    <n v="246.85"/>
    <s v="316 Main St"/>
    <s v="Credit Card"/>
    <s v="Shipped"/>
    <s v="TRK56503740"/>
    <n v="8"/>
    <s v="WINTER15"/>
    <x v="4"/>
    <n v="987.4"/>
  </r>
  <r>
    <x v="776"/>
    <x v="1"/>
    <n v="3"/>
    <n v="588.74"/>
    <s v="751 Main St"/>
    <s v="Debit Card"/>
    <s v="Pending"/>
    <s v="TRK26661705"/>
    <n v="8"/>
    <s v="FREESHIP"/>
    <x v="2"/>
    <n v="1766.22"/>
  </r>
  <r>
    <x v="777"/>
    <x v="5"/>
    <n v="4"/>
    <n v="184.48"/>
    <s v="661 Main St"/>
    <s v="Online"/>
    <s v="Cancelled"/>
    <s v="TRK73613128"/>
    <n v="4"/>
    <s v="WINTER15"/>
    <x v="4"/>
    <n v="737.92"/>
  </r>
  <r>
    <x v="778"/>
    <x v="1"/>
    <n v="5"/>
    <n v="524.26"/>
    <s v="934 Main St"/>
    <s v="Gift Card"/>
    <s v="Delivered"/>
    <s v="TRK51479426"/>
    <n v="5"/>
    <s v="FREESHIP"/>
    <x v="1"/>
    <n v="2621.3000000000002"/>
  </r>
  <r>
    <x v="779"/>
    <x v="0"/>
    <n v="2"/>
    <n v="493.63"/>
    <s v="167 Main St"/>
    <s v="Online"/>
    <s v="Returned"/>
    <s v="TRK50548869"/>
    <n v="6"/>
    <s v="SAVE10"/>
    <x v="1"/>
    <n v="987.26"/>
  </r>
  <r>
    <x v="780"/>
    <x v="4"/>
    <n v="1"/>
    <n v="438.34"/>
    <s v="281 Main St"/>
    <s v="Gift Card"/>
    <s v="Returned"/>
    <s v="TRK46990083"/>
    <n v="5"/>
    <s v="FREESHIP"/>
    <x v="3"/>
    <n v="438.34"/>
  </r>
  <r>
    <x v="781"/>
    <x v="5"/>
    <n v="1"/>
    <n v="325.81"/>
    <s v="232 Main St"/>
    <s v="Credit Card"/>
    <s v="Pending"/>
    <s v="TRK85771230"/>
    <n v="1"/>
    <s v="WINTER15"/>
    <x v="1"/>
    <n v="325.81"/>
  </r>
  <r>
    <x v="782"/>
    <x v="3"/>
    <n v="1"/>
    <n v="176.1"/>
    <s v="342 Main St"/>
    <s v="Credit Card"/>
    <s v="Pending"/>
    <s v="TRK53089983"/>
    <n v="1"/>
    <s v="SAVE10"/>
    <x v="0"/>
    <n v="176.1"/>
  </r>
  <r>
    <x v="783"/>
    <x v="3"/>
    <n v="5"/>
    <n v="45.31"/>
    <s v="774 Main St"/>
    <s v="Online"/>
    <s v="Cancelled"/>
    <s v="TRK99583414"/>
    <n v="8"/>
    <s v="NA"/>
    <x v="1"/>
    <n v="226.55"/>
  </r>
  <r>
    <x v="784"/>
    <x v="6"/>
    <n v="4"/>
    <n v="221.96"/>
    <s v="193 Main St"/>
    <s v="Cash"/>
    <s v="Delivered"/>
    <s v="TRK36841089"/>
    <n v="7"/>
    <s v="NA"/>
    <x v="4"/>
    <n v="887.84"/>
  </r>
  <r>
    <x v="785"/>
    <x v="3"/>
    <n v="2"/>
    <n v="601.42999999999995"/>
    <s v="761 Main St"/>
    <s v="Online"/>
    <s v="Pending"/>
    <s v="TRK43516112"/>
    <n v="5"/>
    <s v="FREESHIP"/>
    <x v="0"/>
    <n v="1202.8599999999999"/>
  </r>
  <r>
    <x v="786"/>
    <x v="2"/>
    <n v="5"/>
    <n v="691.28"/>
    <s v="183 Main St"/>
    <s v="Online"/>
    <s v="Delivered"/>
    <s v="TRK75899752"/>
    <n v="10"/>
    <s v="SAVE10"/>
    <x v="2"/>
    <n v="3456.4"/>
  </r>
  <r>
    <x v="787"/>
    <x v="5"/>
    <n v="4"/>
    <n v="417.89"/>
    <s v="302 Main St"/>
    <s v="Gift Card"/>
    <s v="Pending"/>
    <s v="TRK96636009"/>
    <n v="4"/>
    <s v="NA"/>
    <x v="4"/>
    <n v="1671.56"/>
  </r>
  <r>
    <x v="788"/>
    <x v="3"/>
    <n v="4"/>
    <n v="409.28"/>
    <s v="956 Main St"/>
    <s v="Cash"/>
    <s v="Pending"/>
    <s v="TRK92591237"/>
    <n v="8"/>
    <s v="NA"/>
    <x v="2"/>
    <n v="1637.12"/>
  </r>
  <r>
    <x v="789"/>
    <x v="6"/>
    <n v="2"/>
    <n v="356.35"/>
    <s v="746 Main St"/>
    <s v="Debit Card"/>
    <s v="Returned"/>
    <s v="TRK90995294"/>
    <n v="6"/>
    <s v="WINTER15"/>
    <x v="3"/>
    <n v="712.7"/>
  </r>
  <r>
    <x v="790"/>
    <x v="3"/>
    <n v="5"/>
    <n v="170.22"/>
    <s v="769 Main St"/>
    <s v="Debit Card"/>
    <s v="Delivered"/>
    <s v="TRK69599961"/>
    <n v="8"/>
    <s v="NA"/>
    <x v="1"/>
    <n v="851.1"/>
  </r>
  <r>
    <x v="791"/>
    <x v="4"/>
    <n v="4"/>
    <n v="384.85"/>
    <s v="988 Main St"/>
    <s v="Online"/>
    <s v="Delivered"/>
    <s v="TRK77052196"/>
    <n v="9"/>
    <s v="FREESHIP"/>
    <x v="0"/>
    <n v="1539.4"/>
  </r>
  <r>
    <x v="792"/>
    <x v="5"/>
    <n v="4"/>
    <n v="115.77"/>
    <s v="586 Main St"/>
    <s v="Online"/>
    <s v="Pending"/>
    <s v="TRK41266666"/>
    <n v="7"/>
    <s v="SAVE10"/>
    <x v="0"/>
    <n v="463.08"/>
  </r>
  <r>
    <x v="793"/>
    <x v="1"/>
    <n v="3"/>
    <n v="579.54999999999995"/>
    <s v="882 Main St"/>
    <s v="Gift Card"/>
    <s v="Returned"/>
    <s v="TRK13349970"/>
    <n v="8"/>
    <s v="WINTER15"/>
    <x v="3"/>
    <n v="1738.65"/>
  </r>
  <r>
    <x v="794"/>
    <x v="5"/>
    <n v="2"/>
    <n v="438.76"/>
    <s v="426 Main St"/>
    <s v="Debit Card"/>
    <s v="Returned"/>
    <s v="TRK72557318"/>
    <n v="2"/>
    <s v="NA"/>
    <x v="3"/>
    <n v="877.52"/>
  </r>
  <r>
    <x v="795"/>
    <x v="1"/>
    <n v="5"/>
    <n v="488.35"/>
    <s v="968 Main St"/>
    <s v="Debit Card"/>
    <s v="Returned"/>
    <s v="TRK89372013"/>
    <n v="9"/>
    <s v="FREESHIP"/>
    <x v="2"/>
    <n v="2441.75"/>
  </r>
  <r>
    <x v="796"/>
    <x v="5"/>
    <n v="4"/>
    <n v="328.56"/>
    <s v="803 Main St"/>
    <s v="Debit Card"/>
    <s v="Returned"/>
    <s v="TRK78924436"/>
    <n v="4"/>
    <s v="FREESHIP"/>
    <x v="2"/>
    <n v="1314.24"/>
  </r>
  <r>
    <x v="797"/>
    <x v="2"/>
    <n v="1"/>
    <n v="68.39"/>
    <s v="412 Main St"/>
    <s v="Online"/>
    <s v="Returned"/>
    <s v="TRK99468332"/>
    <n v="3"/>
    <s v="WINTER15"/>
    <x v="3"/>
    <n v="68.39"/>
  </r>
  <r>
    <x v="27"/>
    <x v="4"/>
    <n v="4"/>
    <n v="595.62"/>
    <s v="738 Main St"/>
    <s v="Debit Card"/>
    <s v="Pending"/>
    <s v="TRK58443593"/>
    <n v="8"/>
    <s v="FREESHIP"/>
    <x v="3"/>
    <n v="2382.48"/>
  </r>
  <r>
    <x v="798"/>
    <x v="3"/>
    <n v="5"/>
    <n v="644.64"/>
    <s v="205 Main St"/>
    <s v="Gift Card"/>
    <s v="Cancelled"/>
    <s v="TRK34440714"/>
    <n v="6"/>
    <s v="FREESHIP"/>
    <x v="2"/>
    <n v="3223.2"/>
  </r>
  <r>
    <x v="799"/>
    <x v="0"/>
    <n v="5"/>
    <n v="397.81"/>
    <s v="223 Main St"/>
    <s v="Debit Card"/>
    <s v="Returned"/>
    <s v="TRK45098068"/>
    <n v="5"/>
    <s v="SAVE10"/>
    <x v="1"/>
    <n v="1989.05"/>
  </r>
  <r>
    <x v="800"/>
    <x v="3"/>
    <n v="3"/>
    <n v="236.5"/>
    <s v="916 Main St"/>
    <s v="Online"/>
    <s v="Delivered"/>
    <s v="TRK11868618"/>
    <n v="8"/>
    <s v="FREESHIP"/>
    <x v="2"/>
    <n v="709.5"/>
  </r>
  <r>
    <x v="801"/>
    <x v="5"/>
    <n v="5"/>
    <n v="472.01"/>
    <s v="178 Main St"/>
    <s v="Gift Card"/>
    <s v="Cancelled"/>
    <s v="TRK14590037"/>
    <n v="10"/>
    <s v="SAVE10"/>
    <x v="2"/>
    <n v="2360.0500000000002"/>
  </r>
  <r>
    <x v="802"/>
    <x v="3"/>
    <n v="5"/>
    <n v="253.75"/>
    <s v="740 Main St"/>
    <s v="Online"/>
    <s v="Pending"/>
    <s v="TRK13775054"/>
    <n v="9"/>
    <s v="WINTER15"/>
    <x v="0"/>
    <n v="1268.75"/>
  </r>
  <r>
    <x v="803"/>
    <x v="0"/>
    <n v="3"/>
    <n v="676.21"/>
    <s v="260 Main St"/>
    <s v="Online"/>
    <s v="Delivered"/>
    <s v="TRK70957219"/>
    <n v="5"/>
    <s v="SAVE10"/>
    <x v="4"/>
    <n v="2028.63"/>
  </r>
  <r>
    <x v="804"/>
    <x v="6"/>
    <n v="3"/>
    <n v="134.05000000000001"/>
    <s v="192 Main St"/>
    <s v="Credit Card"/>
    <s v="Shipped"/>
    <s v="TRK80383756"/>
    <n v="3"/>
    <s v="NA"/>
    <x v="4"/>
    <n v="402.15"/>
  </r>
  <r>
    <x v="805"/>
    <x v="6"/>
    <n v="5"/>
    <n v="217.43"/>
    <s v="752 Main St"/>
    <s v="Debit Card"/>
    <s v="Shipped"/>
    <s v="TRK54385892"/>
    <n v="10"/>
    <s v="SAVE10"/>
    <x v="0"/>
    <n v="1087.1500000000001"/>
  </r>
  <r>
    <x v="806"/>
    <x v="2"/>
    <n v="1"/>
    <n v="553.55999999999995"/>
    <s v="644 Main St"/>
    <s v="Credit Card"/>
    <s v="Cancelled"/>
    <s v="TRK16749863"/>
    <n v="5"/>
    <s v="NA"/>
    <x v="1"/>
    <n v="553.55999999999995"/>
  </r>
  <r>
    <x v="807"/>
    <x v="5"/>
    <n v="2"/>
    <n v="28.55"/>
    <s v="864 Main St"/>
    <s v="Gift Card"/>
    <s v="Shipped"/>
    <s v="TRK44538305"/>
    <n v="7"/>
    <s v="SAVE10"/>
    <x v="2"/>
    <n v="57.1"/>
  </r>
  <r>
    <x v="808"/>
    <x v="1"/>
    <n v="2"/>
    <n v="255.26"/>
    <s v="803 Main St"/>
    <s v="Credit Card"/>
    <s v="Cancelled"/>
    <s v="TRK88437123"/>
    <n v="6"/>
    <s v="FREESHIP"/>
    <x v="4"/>
    <n v="510.52"/>
  </r>
  <r>
    <x v="809"/>
    <x v="5"/>
    <n v="5"/>
    <n v="292.54000000000002"/>
    <s v="263 Main St"/>
    <s v="Debit Card"/>
    <s v="Cancelled"/>
    <s v="TRK36131660"/>
    <n v="8"/>
    <s v="FREESHIP"/>
    <x v="2"/>
    <n v="1462.7"/>
  </r>
  <r>
    <x v="810"/>
    <x v="3"/>
    <n v="4"/>
    <n v="147.51"/>
    <s v="979 Main St"/>
    <s v="Debit Card"/>
    <s v="Pending"/>
    <s v="TRK21082461"/>
    <n v="4"/>
    <s v="WINTER15"/>
    <x v="0"/>
    <n v="590.04"/>
  </r>
  <r>
    <x v="811"/>
    <x v="4"/>
    <n v="3"/>
    <n v="569.84"/>
    <s v="920 Main St"/>
    <s v="Gift Card"/>
    <s v="Cancelled"/>
    <s v="TRK77539180"/>
    <n v="8"/>
    <s v="WINTER15"/>
    <x v="0"/>
    <n v="1709.52"/>
  </r>
  <r>
    <x v="812"/>
    <x v="2"/>
    <n v="5"/>
    <n v="574.79"/>
    <s v="497 Main St"/>
    <s v="Credit Card"/>
    <s v="Pending"/>
    <s v="TRK39058734"/>
    <n v="8"/>
    <s v="WINTER15"/>
    <x v="1"/>
    <n v="2873.95"/>
  </r>
  <r>
    <x v="813"/>
    <x v="3"/>
    <n v="4"/>
    <n v="598.19000000000005"/>
    <s v="430 Main St"/>
    <s v="Credit Card"/>
    <s v="Delivered"/>
    <s v="TRK98883971"/>
    <n v="7"/>
    <s v="WINTER15"/>
    <x v="2"/>
    <n v="2392.7600000000002"/>
  </r>
  <r>
    <x v="814"/>
    <x v="1"/>
    <n v="4"/>
    <n v="390.84"/>
    <s v="860 Main St"/>
    <s v="Credit Card"/>
    <s v="Cancelled"/>
    <s v="TRK58781638"/>
    <n v="9"/>
    <s v="WINTER15"/>
    <x v="1"/>
    <n v="1563.36"/>
  </r>
  <r>
    <x v="815"/>
    <x v="1"/>
    <n v="2"/>
    <n v="398.45"/>
    <s v="650 Main St"/>
    <s v="Debit Card"/>
    <s v="Cancelled"/>
    <s v="TRK38104650"/>
    <n v="7"/>
    <s v="SAVE10"/>
    <x v="4"/>
    <n v="796.9"/>
  </r>
  <r>
    <x v="816"/>
    <x v="1"/>
    <n v="5"/>
    <n v="623.80999999999995"/>
    <s v="171 Main St"/>
    <s v="Cash"/>
    <s v="Returned"/>
    <s v="TRK17342157"/>
    <n v="6"/>
    <s v="FREESHIP"/>
    <x v="2"/>
    <n v="3119.05"/>
  </r>
  <r>
    <x v="817"/>
    <x v="5"/>
    <n v="4"/>
    <n v="174.49"/>
    <s v="259 Main St"/>
    <s v="Credit Card"/>
    <s v="Delivered"/>
    <s v="TRK56310345"/>
    <n v="5"/>
    <s v="SAVE10"/>
    <x v="3"/>
    <n v="697.96"/>
  </r>
  <r>
    <x v="818"/>
    <x v="1"/>
    <n v="1"/>
    <n v="479.56"/>
    <s v="923 Main St"/>
    <s v="Gift Card"/>
    <s v="Returned"/>
    <s v="TRK45123395"/>
    <n v="1"/>
    <s v="SAVE10"/>
    <x v="4"/>
    <n v="479.56"/>
  </r>
  <r>
    <x v="819"/>
    <x v="5"/>
    <n v="4"/>
    <n v="653.13"/>
    <s v="973 Main St"/>
    <s v="Credit Card"/>
    <s v="Shipped"/>
    <s v="TRK83842481"/>
    <n v="8"/>
    <s v="WINTER15"/>
    <x v="0"/>
    <n v="2612.52"/>
  </r>
  <r>
    <x v="820"/>
    <x v="0"/>
    <n v="3"/>
    <n v="481.1"/>
    <s v="664 Main St"/>
    <s v="Credit Card"/>
    <s v="Returned"/>
    <s v="TRK12530495"/>
    <n v="3"/>
    <s v="FREESHIP"/>
    <x v="3"/>
    <n v="1443.3"/>
  </r>
  <r>
    <x v="821"/>
    <x v="6"/>
    <n v="5"/>
    <n v="271.69"/>
    <s v="543 Main St"/>
    <s v="Online"/>
    <s v="Returned"/>
    <s v="TRK88914760"/>
    <n v="7"/>
    <s v="FREESHIP"/>
    <x v="0"/>
    <n v="1358.45"/>
  </r>
  <r>
    <x v="822"/>
    <x v="4"/>
    <n v="3"/>
    <n v="463.81"/>
    <s v="283 Main St"/>
    <s v="Online"/>
    <s v="Returned"/>
    <s v="TRK32469820"/>
    <n v="8"/>
    <s v="WINTER15"/>
    <x v="2"/>
    <n v="1391.43"/>
  </r>
  <r>
    <x v="823"/>
    <x v="2"/>
    <n v="2"/>
    <n v="639.88"/>
    <s v="432 Main St"/>
    <s v="Cash"/>
    <s v="Delivered"/>
    <s v="TRK58829625"/>
    <n v="5"/>
    <s v="WINTER15"/>
    <x v="0"/>
    <n v="1279.76"/>
  </r>
  <r>
    <x v="824"/>
    <x v="3"/>
    <n v="4"/>
    <n v="404.58"/>
    <s v="510 Main St"/>
    <s v="Cash"/>
    <s v="Shipped"/>
    <s v="TRK64576020"/>
    <n v="5"/>
    <s v="FREESHIP"/>
    <x v="0"/>
    <n v="1618.32"/>
  </r>
  <r>
    <x v="825"/>
    <x v="0"/>
    <n v="1"/>
    <n v="76.930000000000007"/>
    <s v="685 Main St"/>
    <s v="Debit Card"/>
    <s v="Delivered"/>
    <s v="TRK68358007"/>
    <n v="6"/>
    <s v="WINTER15"/>
    <x v="0"/>
    <n v="76.930000000000007"/>
  </r>
  <r>
    <x v="826"/>
    <x v="2"/>
    <n v="4"/>
    <n v="190.64"/>
    <s v="853 Main St"/>
    <s v="Cash"/>
    <s v="Delivered"/>
    <s v="TRK70028457"/>
    <n v="5"/>
    <s v="SAVE10"/>
    <x v="2"/>
    <n v="762.56"/>
  </r>
  <r>
    <x v="827"/>
    <x v="4"/>
    <n v="2"/>
    <n v="88.73"/>
    <s v="140 Main St"/>
    <s v="Online"/>
    <s v="Pending"/>
    <s v="TRK61346824"/>
    <n v="5"/>
    <s v="NA"/>
    <x v="4"/>
    <n v="177.46"/>
  </r>
  <r>
    <x v="828"/>
    <x v="3"/>
    <n v="5"/>
    <n v="485.71"/>
    <s v="903 Main St"/>
    <s v="Online"/>
    <s v="Pending"/>
    <s v="TRK14661811"/>
    <n v="10"/>
    <s v="SAVE10"/>
    <x v="1"/>
    <n v="2428.5500000000002"/>
  </r>
  <r>
    <x v="829"/>
    <x v="1"/>
    <n v="5"/>
    <n v="78.290000000000006"/>
    <s v="508 Main St"/>
    <s v="Credit Card"/>
    <s v="Shipped"/>
    <s v="TRK96573803"/>
    <n v="5"/>
    <s v="WINTER15"/>
    <x v="1"/>
    <n v="391.45"/>
  </r>
  <r>
    <x v="830"/>
    <x v="4"/>
    <n v="5"/>
    <n v="22.14"/>
    <s v="456 Main St"/>
    <s v="Cash"/>
    <s v="Returned"/>
    <s v="TRK22084320"/>
    <n v="10"/>
    <s v="NA"/>
    <x v="0"/>
    <n v="110.7"/>
  </r>
  <r>
    <x v="831"/>
    <x v="6"/>
    <n v="1"/>
    <n v="679.65"/>
    <s v="390 Main St"/>
    <s v="Debit Card"/>
    <s v="Shipped"/>
    <s v="TRK73888013"/>
    <n v="6"/>
    <s v="FREESHIP"/>
    <x v="4"/>
    <n v="679.65"/>
  </r>
  <r>
    <x v="832"/>
    <x v="1"/>
    <n v="1"/>
    <n v="178.44"/>
    <s v="328 Main St"/>
    <s v="Credit Card"/>
    <s v="Cancelled"/>
    <s v="TRK58725886"/>
    <n v="2"/>
    <s v="FREESHIP"/>
    <x v="4"/>
    <n v="178.44"/>
  </r>
  <r>
    <x v="833"/>
    <x v="3"/>
    <n v="5"/>
    <n v="655.55"/>
    <s v="282 Main St"/>
    <s v="Online"/>
    <s v="Delivered"/>
    <s v="TRK59701278"/>
    <n v="5"/>
    <s v="NA"/>
    <x v="2"/>
    <n v="3277.75"/>
  </r>
  <r>
    <x v="834"/>
    <x v="6"/>
    <n v="4"/>
    <n v="577.08000000000004"/>
    <s v="384 Main St"/>
    <s v="Online"/>
    <s v="Pending"/>
    <s v="TRK68797566"/>
    <n v="8"/>
    <s v="NA"/>
    <x v="3"/>
    <n v="2308.3200000000002"/>
  </r>
  <r>
    <x v="835"/>
    <x v="3"/>
    <n v="3"/>
    <n v="197.97"/>
    <s v="551 Main St"/>
    <s v="Online"/>
    <s v="Cancelled"/>
    <s v="TRK90618490"/>
    <n v="5"/>
    <s v="NA"/>
    <x v="4"/>
    <n v="593.91"/>
  </r>
  <r>
    <x v="836"/>
    <x v="3"/>
    <n v="3"/>
    <n v="411.95"/>
    <s v="672 Main St"/>
    <s v="Credit Card"/>
    <s v="Delivered"/>
    <s v="TRK88660574"/>
    <n v="7"/>
    <s v="FREESHIP"/>
    <x v="1"/>
    <n v="1235.8499999999999"/>
  </r>
  <r>
    <x v="837"/>
    <x v="4"/>
    <n v="2"/>
    <n v="443.22"/>
    <s v="742 Main St"/>
    <s v="Credit Card"/>
    <s v="Delivered"/>
    <s v="TRK51732528"/>
    <n v="5"/>
    <s v="NA"/>
    <x v="3"/>
    <n v="886.44"/>
  </r>
  <r>
    <x v="838"/>
    <x v="5"/>
    <n v="3"/>
    <n v="364.14"/>
    <s v="396 Main St"/>
    <s v="Online"/>
    <s v="Pending"/>
    <s v="TRK88312618"/>
    <n v="7"/>
    <s v="WINTER15"/>
    <x v="1"/>
    <n v="1092.42"/>
  </r>
  <r>
    <x v="839"/>
    <x v="6"/>
    <n v="3"/>
    <n v="430.06"/>
    <s v="534 Main St"/>
    <s v="Gift Card"/>
    <s v="Cancelled"/>
    <s v="TRK20961563"/>
    <n v="8"/>
    <s v="FREESHIP"/>
    <x v="0"/>
    <n v="1290.18"/>
  </r>
  <r>
    <x v="840"/>
    <x v="3"/>
    <n v="1"/>
    <n v="320.92"/>
    <s v="883 Main St"/>
    <s v="Online"/>
    <s v="Returned"/>
    <s v="TRK75984759"/>
    <n v="5"/>
    <s v="FREESHIP"/>
    <x v="3"/>
    <n v="320.92"/>
  </r>
  <r>
    <x v="841"/>
    <x v="1"/>
    <n v="3"/>
    <n v="107.36"/>
    <s v="808 Main St"/>
    <s v="Gift Card"/>
    <s v="Delivered"/>
    <s v="TRK68894675"/>
    <n v="5"/>
    <s v="FREESHIP"/>
    <x v="4"/>
    <n v="322.08"/>
  </r>
  <r>
    <x v="842"/>
    <x v="6"/>
    <n v="2"/>
    <n v="359.86"/>
    <s v="646 Main St"/>
    <s v="Debit Card"/>
    <s v="Cancelled"/>
    <s v="TRK43977698"/>
    <n v="4"/>
    <s v="NA"/>
    <x v="1"/>
    <n v="719.72"/>
  </r>
  <r>
    <x v="843"/>
    <x v="4"/>
    <n v="4"/>
    <n v="434.23"/>
    <s v="670 Main St"/>
    <s v="Online"/>
    <s v="Shipped"/>
    <s v="TRK90560300"/>
    <n v="8"/>
    <s v="FREESHIP"/>
    <x v="2"/>
    <n v="1736.92"/>
  </r>
  <r>
    <x v="844"/>
    <x v="3"/>
    <n v="2"/>
    <n v="645.85"/>
    <s v="634 Main St"/>
    <s v="Online"/>
    <s v="Shipped"/>
    <s v="TRK18049633"/>
    <n v="5"/>
    <s v="NA"/>
    <x v="1"/>
    <n v="1291.7"/>
  </r>
  <r>
    <x v="845"/>
    <x v="4"/>
    <n v="4"/>
    <n v="214.35"/>
    <s v="664 Main St"/>
    <s v="Debit Card"/>
    <s v="Cancelled"/>
    <s v="TRK12756945"/>
    <n v="7"/>
    <s v="WINTER15"/>
    <x v="1"/>
    <n v="857.4"/>
  </r>
  <r>
    <x v="846"/>
    <x v="0"/>
    <n v="3"/>
    <n v="638.5"/>
    <s v="890 Main St"/>
    <s v="Debit Card"/>
    <s v="Cancelled"/>
    <s v="TRK14832238"/>
    <n v="4"/>
    <s v="FREESHIP"/>
    <x v="0"/>
    <n v="1915.5"/>
  </r>
  <r>
    <x v="847"/>
    <x v="5"/>
    <n v="1"/>
    <n v="365.57"/>
    <s v="146 Main St"/>
    <s v="Online"/>
    <s v="Cancelled"/>
    <s v="TRK20814598"/>
    <n v="5"/>
    <s v="SAVE10"/>
    <x v="2"/>
    <n v="365.57"/>
  </r>
  <r>
    <x v="848"/>
    <x v="6"/>
    <n v="3"/>
    <n v="568.04999999999995"/>
    <s v="618 Main St"/>
    <s v="Gift Card"/>
    <s v="Pending"/>
    <s v="TRK69000497"/>
    <n v="6"/>
    <s v="SAVE10"/>
    <x v="4"/>
    <n v="1704.15"/>
  </r>
  <r>
    <x v="849"/>
    <x v="4"/>
    <n v="3"/>
    <n v="490.01"/>
    <s v="894 Main St"/>
    <s v="Cash"/>
    <s v="Returned"/>
    <s v="TRK94641152"/>
    <n v="4"/>
    <s v="SAVE10"/>
    <x v="3"/>
    <n v="1470.03"/>
  </r>
  <r>
    <x v="850"/>
    <x v="5"/>
    <n v="3"/>
    <n v="372.6"/>
    <s v="356 Main St"/>
    <s v="Credit Card"/>
    <s v="Delivered"/>
    <s v="TRK67735987"/>
    <n v="7"/>
    <s v="WINTER15"/>
    <x v="1"/>
    <n v="1117.8"/>
  </r>
  <r>
    <x v="851"/>
    <x v="0"/>
    <n v="5"/>
    <n v="240.61"/>
    <s v="785 Main St"/>
    <s v="Credit Card"/>
    <s v="Shipped"/>
    <s v="TRK94198179"/>
    <n v="10"/>
    <s v="FREESHIP"/>
    <x v="2"/>
    <n v="1203.05"/>
  </r>
  <r>
    <x v="852"/>
    <x v="1"/>
    <n v="1"/>
    <n v="586.62"/>
    <s v="871 Main St"/>
    <s v="Debit Card"/>
    <s v="Shipped"/>
    <s v="TRK95768773"/>
    <n v="5"/>
    <s v="NA"/>
    <x v="3"/>
    <n v="586.62"/>
  </r>
  <r>
    <x v="853"/>
    <x v="1"/>
    <n v="3"/>
    <n v="257.83999999999997"/>
    <s v="185 Main St"/>
    <s v="Online"/>
    <s v="Delivered"/>
    <s v="TRK86808324"/>
    <n v="4"/>
    <s v="NA"/>
    <x v="0"/>
    <n v="773.52"/>
  </r>
  <r>
    <x v="854"/>
    <x v="2"/>
    <n v="5"/>
    <n v="435.66"/>
    <s v="891 Main St"/>
    <s v="Online"/>
    <s v="Pending"/>
    <s v="TRK70269748"/>
    <n v="9"/>
    <s v="NA"/>
    <x v="3"/>
    <n v="2178.3000000000002"/>
  </r>
  <r>
    <x v="855"/>
    <x v="3"/>
    <n v="5"/>
    <n v="261.33"/>
    <s v="154 Main St"/>
    <s v="Credit Card"/>
    <s v="Returned"/>
    <s v="TRK73285507"/>
    <n v="5"/>
    <s v="SAVE10"/>
    <x v="1"/>
    <n v="1306.6500000000001"/>
  </r>
  <r>
    <x v="856"/>
    <x v="4"/>
    <n v="1"/>
    <n v="422.54"/>
    <s v="876 Main St"/>
    <s v="Cash"/>
    <s v="Delivered"/>
    <s v="TRK20746505"/>
    <n v="1"/>
    <s v="SAVE10"/>
    <x v="4"/>
    <n v="422.54"/>
  </r>
  <r>
    <x v="857"/>
    <x v="6"/>
    <n v="5"/>
    <n v="330.45"/>
    <s v="230 Main St"/>
    <s v="Gift Card"/>
    <s v="Shipped"/>
    <s v="TRK44165913"/>
    <n v="10"/>
    <s v="FREESHIP"/>
    <x v="4"/>
    <n v="1652.25"/>
  </r>
  <r>
    <x v="858"/>
    <x v="6"/>
    <n v="3"/>
    <n v="120.82"/>
    <s v="799 Main St"/>
    <s v="Credit Card"/>
    <s v="Shipped"/>
    <s v="TRK69852386"/>
    <n v="5"/>
    <s v="SAVE10"/>
    <x v="1"/>
    <n v="362.46"/>
  </r>
  <r>
    <x v="859"/>
    <x v="1"/>
    <n v="1"/>
    <n v="14.06"/>
    <s v="471 Main St"/>
    <s v="Credit Card"/>
    <s v="Pending"/>
    <s v="TRK74207282"/>
    <n v="5"/>
    <s v="SAVE10"/>
    <x v="1"/>
    <n v="14.06"/>
  </r>
  <r>
    <x v="860"/>
    <x v="6"/>
    <n v="1"/>
    <n v="491.11"/>
    <s v="592 Main St"/>
    <s v="Credit Card"/>
    <s v="Delivered"/>
    <s v="TRK58095246"/>
    <n v="4"/>
    <s v="SAVE10"/>
    <x v="3"/>
    <n v="491.11"/>
  </r>
  <r>
    <x v="861"/>
    <x v="0"/>
    <n v="4"/>
    <n v="677.37"/>
    <s v="156 Main St"/>
    <s v="Cash"/>
    <s v="Pending"/>
    <s v="TRK76270481"/>
    <n v="8"/>
    <s v="SAVE10"/>
    <x v="4"/>
    <n v="2709.48"/>
  </r>
  <r>
    <x v="862"/>
    <x v="6"/>
    <n v="5"/>
    <n v="189.25"/>
    <s v="693 Main St"/>
    <s v="Debit Card"/>
    <s v="Cancelled"/>
    <s v="TRK39917741"/>
    <n v="10"/>
    <s v="WINTER15"/>
    <x v="2"/>
    <n v="946.25"/>
  </r>
  <r>
    <x v="863"/>
    <x v="4"/>
    <n v="4"/>
    <n v="142.58000000000001"/>
    <s v="351 Main St"/>
    <s v="Cash"/>
    <s v="Delivered"/>
    <s v="TRK65831261"/>
    <n v="4"/>
    <s v="FREESHIP"/>
    <x v="3"/>
    <n v="570.32000000000005"/>
  </r>
  <r>
    <x v="864"/>
    <x v="0"/>
    <n v="4"/>
    <n v="316.32"/>
    <s v="309 Main St"/>
    <s v="Debit Card"/>
    <s v="Delivered"/>
    <s v="TRK42985882"/>
    <n v="7"/>
    <s v="NA"/>
    <x v="3"/>
    <n v="1265.28"/>
  </r>
  <r>
    <x v="865"/>
    <x v="6"/>
    <n v="2"/>
    <n v="533.95000000000005"/>
    <s v="790 Main St"/>
    <s v="Online"/>
    <s v="Delivered"/>
    <s v="TRK16788127"/>
    <n v="5"/>
    <s v="WINTER15"/>
    <x v="4"/>
    <n v="1067.9000000000001"/>
  </r>
  <r>
    <x v="866"/>
    <x v="1"/>
    <n v="4"/>
    <n v="470.09"/>
    <s v="541 Main St"/>
    <s v="Debit Card"/>
    <s v="Delivered"/>
    <s v="TRK72001139"/>
    <n v="4"/>
    <s v="FREESHIP"/>
    <x v="4"/>
    <n v="1880.36"/>
  </r>
  <r>
    <x v="867"/>
    <x v="2"/>
    <n v="3"/>
    <n v="324.3"/>
    <s v="720 Main St"/>
    <s v="Debit Card"/>
    <s v="Pending"/>
    <s v="TRK22024707"/>
    <n v="8"/>
    <s v="FREESHIP"/>
    <x v="2"/>
    <n v="972.90000000000009"/>
  </r>
  <r>
    <x v="868"/>
    <x v="3"/>
    <n v="4"/>
    <n v="629.34"/>
    <s v="172 Main St"/>
    <s v="Cash"/>
    <s v="Shipped"/>
    <s v="TRK90883858"/>
    <n v="7"/>
    <s v="NA"/>
    <x v="2"/>
    <n v="2517.36"/>
  </r>
  <r>
    <x v="869"/>
    <x v="6"/>
    <n v="3"/>
    <n v="136.84"/>
    <s v="448 Main St"/>
    <s v="Cash"/>
    <s v="Delivered"/>
    <s v="TRK27365050"/>
    <n v="3"/>
    <s v="SAVE10"/>
    <x v="3"/>
    <n v="410.52"/>
  </r>
  <r>
    <x v="870"/>
    <x v="3"/>
    <n v="2"/>
    <n v="488.9"/>
    <s v="632 Main St"/>
    <s v="Cash"/>
    <s v="Delivered"/>
    <s v="TRK93315929"/>
    <n v="7"/>
    <s v="FREESHIP"/>
    <x v="3"/>
    <n v="977.8"/>
  </r>
  <r>
    <x v="871"/>
    <x v="5"/>
    <n v="5"/>
    <n v="133.38999999999999"/>
    <s v="203 Main St"/>
    <s v="Credit Card"/>
    <s v="Delivered"/>
    <s v="TRK66473392"/>
    <n v="6"/>
    <s v="FREESHIP"/>
    <x v="1"/>
    <n v="666.94999999999993"/>
  </r>
  <r>
    <x v="872"/>
    <x v="3"/>
    <n v="5"/>
    <n v="608.91"/>
    <s v="200 Main St"/>
    <s v="Gift Card"/>
    <s v="Pending"/>
    <s v="TRK21534173"/>
    <n v="6"/>
    <s v="SAVE10"/>
    <x v="4"/>
    <n v="3044.55"/>
  </r>
  <r>
    <x v="873"/>
    <x v="2"/>
    <n v="1"/>
    <n v="524.05999999999995"/>
    <s v="269 Main St"/>
    <s v="Debit Card"/>
    <s v="Pending"/>
    <s v="TRK97319127"/>
    <n v="3"/>
    <s v="FREESHIP"/>
    <x v="2"/>
    <n v="524.05999999999995"/>
  </r>
  <r>
    <x v="874"/>
    <x v="6"/>
    <n v="2"/>
    <n v="330.69"/>
    <s v="393 Main St"/>
    <s v="Online"/>
    <s v="Cancelled"/>
    <s v="TRK56423132"/>
    <n v="5"/>
    <s v="SAVE10"/>
    <x v="4"/>
    <n v="661.38"/>
  </r>
  <r>
    <x v="875"/>
    <x v="1"/>
    <n v="2"/>
    <n v="547.66999999999996"/>
    <s v="932 Main St"/>
    <s v="Gift Card"/>
    <s v="Shipped"/>
    <s v="TRK86373987"/>
    <n v="3"/>
    <s v="NA"/>
    <x v="0"/>
    <n v="1095.3399999999999"/>
  </r>
  <r>
    <x v="876"/>
    <x v="5"/>
    <n v="4"/>
    <n v="233.7"/>
    <s v="506 Main St"/>
    <s v="Online"/>
    <s v="Shipped"/>
    <s v="TRK63133878"/>
    <n v="8"/>
    <s v="SAVE10"/>
    <x v="3"/>
    <n v="934.8"/>
  </r>
  <r>
    <x v="877"/>
    <x v="2"/>
    <n v="2"/>
    <n v="448.85"/>
    <s v="386 Main St"/>
    <s v="Credit Card"/>
    <s v="Pending"/>
    <s v="TRK48000034"/>
    <n v="6"/>
    <s v="NA"/>
    <x v="0"/>
    <n v="897.7"/>
  </r>
  <r>
    <x v="878"/>
    <x v="1"/>
    <n v="2"/>
    <n v="274.12"/>
    <s v="533 Main St"/>
    <s v="Cash"/>
    <s v="Delivered"/>
    <s v="TRK91848650"/>
    <n v="6"/>
    <s v="FREESHIP"/>
    <x v="1"/>
    <n v="548.24"/>
  </r>
  <r>
    <x v="879"/>
    <x v="4"/>
    <n v="5"/>
    <n v="561.48"/>
    <s v="451 Main St"/>
    <s v="Online"/>
    <s v="Delivered"/>
    <s v="TRK25317348"/>
    <n v="9"/>
    <s v="FREESHIP"/>
    <x v="3"/>
    <n v="2807.4"/>
  </r>
  <r>
    <x v="880"/>
    <x v="3"/>
    <n v="1"/>
    <n v="595.54"/>
    <s v="817 Main St"/>
    <s v="Gift Card"/>
    <s v="Shipped"/>
    <s v="TRK52137079"/>
    <n v="4"/>
    <s v="NA"/>
    <x v="0"/>
    <n v="595.54"/>
  </r>
  <r>
    <x v="881"/>
    <x v="5"/>
    <n v="4"/>
    <n v="515.59"/>
    <s v="387 Main St"/>
    <s v="Credit Card"/>
    <s v="Shipped"/>
    <s v="TRK36388962"/>
    <n v="7"/>
    <s v="FREESHIP"/>
    <x v="4"/>
    <n v="2062.36"/>
  </r>
  <r>
    <x v="882"/>
    <x v="1"/>
    <n v="1"/>
    <n v="460.13"/>
    <s v="792 Main St"/>
    <s v="Credit Card"/>
    <s v="Returned"/>
    <s v="TRK22046456"/>
    <n v="1"/>
    <s v="NA"/>
    <x v="4"/>
    <n v="460.13"/>
  </r>
  <r>
    <x v="883"/>
    <x v="3"/>
    <n v="3"/>
    <n v="171.66"/>
    <s v="857 Main St"/>
    <s v="Debit Card"/>
    <s v="Delivered"/>
    <s v="TRK88547534"/>
    <n v="7"/>
    <s v="NA"/>
    <x v="4"/>
    <n v="514.98"/>
  </r>
  <r>
    <x v="884"/>
    <x v="5"/>
    <n v="2"/>
    <n v="266.95"/>
    <s v="833 Main St"/>
    <s v="Credit Card"/>
    <s v="Pending"/>
    <s v="TRK58024529"/>
    <n v="3"/>
    <s v="NA"/>
    <x v="0"/>
    <n v="533.9"/>
  </r>
  <r>
    <x v="885"/>
    <x v="0"/>
    <n v="5"/>
    <n v="650.72"/>
    <s v="350 Main St"/>
    <s v="Credit Card"/>
    <s v="Cancelled"/>
    <s v="TRK16808790"/>
    <n v="8"/>
    <s v="WINTER15"/>
    <x v="2"/>
    <n v="3253.6"/>
  </r>
  <r>
    <x v="886"/>
    <x v="5"/>
    <n v="3"/>
    <n v="439.53"/>
    <s v="943 Main St"/>
    <s v="Debit Card"/>
    <s v="Pending"/>
    <s v="TRK85741716"/>
    <n v="5"/>
    <s v="NA"/>
    <x v="4"/>
    <n v="1318.59"/>
  </r>
  <r>
    <x v="887"/>
    <x v="0"/>
    <n v="3"/>
    <n v="654.54"/>
    <s v="918 Main St"/>
    <s v="Cash"/>
    <s v="Returned"/>
    <s v="TRK38952138"/>
    <n v="7"/>
    <s v="SAVE10"/>
    <x v="1"/>
    <n v="1963.62"/>
  </r>
  <r>
    <x v="888"/>
    <x v="6"/>
    <n v="1"/>
    <n v="394.53"/>
    <s v="480 Main St"/>
    <s v="Cash"/>
    <s v="Shipped"/>
    <s v="TRK40896408"/>
    <n v="2"/>
    <s v="FREESHIP"/>
    <x v="1"/>
    <n v="394.53"/>
  </r>
  <r>
    <x v="889"/>
    <x v="0"/>
    <n v="1"/>
    <n v="678.01"/>
    <s v="696 Main St"/>
    <s v="Cash"/>
    <s v="Pending"/>
    <s v="TRK55701253"/>
    <n v="4"/>
    <s v="FREESHIP"/>
    <x v="1"/>
    <n v="678.01"/>
  </r>
  <r>
    <x v="890"/>
    <x v="2"/>
    <n v="3"/>
    <n v="575.01"/>
    <s v="852 Main St"/>
    <s v="Online"/>
    <s v="Cancelled"/>
    <s v="TRK37551831"/>
    <n v="8"/>
    <s v="WINTER15"/>
    <x v="0"/>
    <n v="1725.03"/>
  </r>
  <r>
    <x v="891"/>
    <x v="3"/>
    <n v="3"/>
    <n v="154.63999999999999"/>
    <s v="832 Main St"/>
    <s v="Debit Card"/>
    <s v="Pending"/>
    <s v="TRK62371264"/>
    <n v="6"/>
    <s v="WINTER15"/>
    <x v="3"/>
    <n v="463.92"/>
  </r>
  <r>
    <x v="892"/>
    <x v="6"/>
    <n v="3"/>
    <n v="147.29"/>
    <s v="102 Main St"/>
    <s v="Gift Card"/>
    <s v="Shipped"/>
    <s v="TRK66764177"/>
    <n v="3"/>
    <s v="FREESHIP"/>
    <x v="4"/>
    <n v="441.87"/>
  </r>
  <r>
    <x v="893"/>
    <x v="5"/>
    <n v="4"/>
    <n v="481.48"/>
    <s v="358 Main St"/>
    <s v="Gift Card"/>
    <s v="Delivered"/>
    <s v="TRK38730545"/>
    <n v="5"/>
    <s v="SAVE10"/>
    <x v="0"/>
    <n v="1925.92"/>
  </r>
  <r>
    <x v="894"/>
    <x v="0"/>
    <n v="3"/>
    <n v="158.37"/>
    <s v="742 Main St"/>
    <s v="Cash"/>
    <s v="Shipped"/>
    <s v="TRK66662528"/>
    <n v="6"/>
    <s v="NA"/>
    <x v="1"/>
    <n v="475.11"/>
  </r>
  <r>
    <x v="895"/>
    <x v="4"/>
    <n v="2"/>
    <n v="323.37"/>
    <s v="552 Main St"/>
    <s v="Online"/>
    <s v="Pending"/>
    <s v="TRK83843411"/>
    <n v="3"/>
    <s v="SAVE10"/>
    <x v="0"/>
    <n v="646.74"/>
  </r>
  <r>
    <x v="896"/>
    <x v="5"/>
    <n v="5"/>
    <n v="73.83"/>
    <s v="991 Main St"/>
    <s v="Debit Card"/>
    <s v="Pending"/>
    <s v="TRK67342586"/>
    <n v="9"/>
    <s v="NA"/>
    <x v="0"/>
    <n v="369.15"/>
  </r>
  <r>
    <x v="897"/>
    <x v="2"/>
    <n v="1"/>
    <n v="458.63"/>
    <s v="839 Main St"/>
    <s v="Debit Card"/>
    <s v="Returned"/>
    <s v="TRK79321479"/>
    <n v="4"/>
    <s v="WINTER15"/>
    <x v="1"/>
    <n v="458.63"/>
  </r>
  <r>
    <x v="898"/>
    <x v="0"/>
    <n v="4"/>
    <n v="180.25"/>
    <s v="813 Main St"/>
    <s v="Debit Card"/>
    <s v="Cancelled"/>
    <s v="TRK76712124"/>
    <n v="7"/>
    <s v="NA"/>
    <x v="3"/>
    <n v="721"/>
  </r>
  <r>
    <x v="899"/>
    <x v="0"/>
    <n v="3"/>
    <n v="473.49"/>
    <s v="205 Main St"/>
    <s v="Credit Card"/>
    <s v="Pending"/>
    <s v="TRK56186636"/>
    <n v="7"/>
    <s v="NA"/>
    <x v="2"/>
    <n v="1420.47"/>
  </r>
  <r>
    <x v="900"/>
    <x v="0"/>
    <n v="4"/>
    <n v="237.43"/>
    <s v="262 Main St"/>
    <s v="Cash"/>
    <s v="Cancelled"/>
    <s v="TRK41146508"/>
    <n v="8"/>
    <s v="WINTER15"/>
    <x v="1"/>
    <n v="949.72"/>
  </r>
  <r>
    <x v="901"/>
    <x v="5"/>
    <n v="1"/>
    <n v="442.39"/>
    <s v="101 Main St"/>
    <s v="Gift Card"/>
    <s v="Pending"/>
    <s v="TRK81978113"/>
    <n v="6"/>
    <s v="FREESHIP"/>
    <x v="3"/>
    <n v="442.39"/>
  </r>
  <r>
    <x v="902"/>
    <x v="0"/>
    <n v="1"/>
    <n v="62.12"/>
    <s v="141 Main St"/>
    <s v="Cash"/>
    <s v="Returned"/>
    <s v="TRK80175572"/>
    <n v="2"/>
    <s v="NA"/>
    <x v="2"/>
    <n v="62.12"/>
  </r>
  <r>
    <x v="903"/>
    <x v="6"/>
    <n v="5"/>
    <n v="298.39"/>
    <s v="583 Main St"/>
    <s v="Gift Card"/>
    <s v="Cancelled"/>
    <s v="TRK52935170"/>
    <n v="7"/>
    <s v="WINTER15"/>
    <x v="1"/>
    <n v="1491.95"/>
  </r>
  <r>
    <x v="904"/>
    <x v="6"/>
    <n v="2"/>
    <n v="697.93"/>
    <s v="332 Main St"/>
    <s v="Credit Card"/>
    <s v="Cancelled"/>
    <s v="TRK27155709"/>
    <n v="2"/>
    <s v="SAVE10"/>
    <x v="4"/>
    <n v="1395.86"/>
  </r>
  <r>
    <x v="905"/>
    <x v="2"/>
    <n v="2"/>
    <n v="291.85000000000002"/>
    <s v="569 Main St"/>
    <s v="Cash"/>
    <s v="Shipped"/>
    <s v="TRK76525279"/>
    <n v="5"/>
    <s v="FREESHIP"/>
    <x v="0"/>
    <n v="583.70000000000005"/>
  </r>
  <r>
    <x v="906"/>
    <x v="4"/>
    <n v="3"/>
    <n v="308.98"/>
    <s v="348 Main St"/>
    <s v="Cash"/>
    <s v="Delivered"/>
    <s v="TRK26397548"/>
    <n v="3"/>
    <s v="SAVE10"/>
    <x v="0"/>
    <n v="926.94"/>
  </r>
  <r>
    <x v="907"/>
    <x v="6"/>
    <n v="5"/>
    <n v="396.86"/>
    <s v="593 Main St"/>
    <s v="Cash"/>
    <s v="Cancelled"/>
    <s v="TRK43967487"/>
    <n v="9"/>
    <s v="SAVE10"/>
    <x v="0"/>
    <n v="1984.3"/>
  </r>
  <r>
    <x v="908"/>
    <x v="6"/>
    <n v="2"/>
    <n v="139.69"/>
    <s v="318 Main St"/>
    <s v="Online"/>
    <s v="Returned"/>
    <s v="TRK85545920"/>
    <n v="7"/>
    <s v="FREESHIP"/>
    <x v="2"/>
    <n v="279.38"/>
  </r>
  <r>
    <x v="909"/>
    <x v="4"/>
    <n v="5"/>
    <n v="475.95"/>
    <s v="505 Main St"/>
    <s v="Credit Card"/>
    <s v="Returned"/>
    <s v="TRK62277685"/>
    <n v="8"/>
    <s v="WINTER15"/>
    <x v="3"/>
    <n v="2379.75"/>
  </r>
  <r>
    <x v="910"/>
    <x v="6"/>
    <n v="1"/>
    <n v="626.6"/>
    <s v="955 Main St"/>
    <s v="Gift Card"/>
    <s v="Returned"/>
    <s v="TRK51589589"/>
    <n v="4"/>
    <s v="WINTER15"/>
    <x v="3"/>
    <n v="626.6"/>
  </r>
  <r>
    <x v="911"/>
    <x v="5"/>
    <n v="4"/>
    <n v="502.99"/>
    <s v="939 Main St"/>
    <s v="Debit Card"/>
    <s v="Shipped"/>
    <s v="TRK30736692"/>
    <n v="4"/>
    <s v="WINTER15"/>
    <x v="1"/>
    <n v="2011.96"/>
  </r>
  <r>
    <x v="912"/>
    <x v="4"/>
    <n v="5"/>
    <n v="578.83000000000004"/>
    <s v="165 Main St"/>
    <s v="Cash"/>
    <s v="Returned"/>
    <s v="TRK13928455"/>
    <n v="6"/>
    <s v="NA"/>
    <x v="1"/>
    <n v="2894.15"/>
  </r>
  <r>
    <x v="913"/>
    <x v="5"/>
    <n v="5"/>
    <n v="383.82"/>
    <s v="836 Main St"/>
    <s v="Credit Card"/>
    <s v="Returned"/>
    <s v="TRK19315310"/>
    <n v="7"/>
    <s v="FREESHIP"/>
    <x v="4"/>
    <n v="1919.1"/>
  </r>
  <r>
    <x v="914"/>
    <x v="5"/>
    <n v="5"/>
    <n v="368.25"/>
    <s v="706 Main St"/>
    <s v="Online"/>
    <s v="Delivered"/>
    <s v="TRK18250450"/>
    <n v="5"/>
    <s v="NA"/>
    <x v="0"/>
    <n v="1841.25"/>
  </r>
  <r>
    <x v="915"/>
    <x v="4"/>
    <n v="2"/>
    <n v="374.6"/>
    <s v="187 Main St"/>
    <s v="Online"/>
    <s v="Shipped"/>
    <s v="TRK23357668"/>
    <n v="3"/>
    <s v="FREESHIP"/>
    <x v="1"/>
    <n v="749.2"/>
  </r>
  <r>
    <x v="916"/>
    <x v="2"/>
    <n v="2"/>
    <n v="428.09"/>
    <s v="978 Main St"/>
    <s v="Credit Card"/>
    <s v="Returned"/>
    <s v="TRK98110407"/>
    <n v="6"/>
    <s v="NA"/>
    <x v="0"/>
    <n v="856.18"/>
  </r>
  <r>
    <x v="917"/>
    <x v="2"/>
    <n v="1"/>
    <n v="438.93"/>
    <s v="144 Main St"/>
    <s v="Gift Card"/>
    <s v="Cancelled"/>
    <s v="TRK90075720"/>
    <n v="3"/>
    <s v="SAVE10"/>
    <x v="1"/>
    <n v="438.93"/>
  </r>
  <r>
    <x v="918"/>
    <x v="6"/>
    <n v="2"/>
    <n v="563.82000000000005"/>
    <s v="487 Main St"/>
    <s v="Credit Card"/>
    <s v="Pending"/>
    <s v="TRK79737732"/>
    <n v="3"/>
    <s v="NA"/>
    <x v="0"/>
    <n v="1127.6400000000001"/>
  </r>
  <r>
    <x v="919"/>
    <x v="4"/>
    <n v="3"/>
    <n v="649.92999999999995"/>
    <s v="836 Main St"/>
    <s v="Credit Card"/>
    <s v="Pending"/>
    <s v="TRK99938245"/>
    <n v="7"/>
    <s v="WINTER15"/>
    <x v="3"/>
    <n v="1949.79"/>
  </r>
  <r>
    <x v="920"/>
    <x v="4"/>
    <n v="5"/>
    <n v="268.43"/>
    <s v="991 Main St"/>
    <s v="Cash"/>
    <s v="Returned"/>
    <s v="TRK55330558"/>
    <n v="5"/>
    <s v="SAVE10"/>
    <x v="2"/>
    <n v="1342.15"/>
  </r>
  <r>
    <x v="921"/>
    <x v="0"/>
    <n v="5"/>
    <n v="502.47"/>
    <s v="304 Main St"/>
    <s v="Online"/>
    <s v="Shipped"/>
    <s v="TRK97460884"/>
    <n v="10"/>
    <s v="WINTER15"/>
    <x v="2"/>
    <n v="2512.35"/>
  </r>
  <r>
    <x v="922"/>
    <x v="6"/>
    <n v="1"/>
    <n v="26.95"/>
    <s v="672 Main St"/>
    <s v="Cash"/>
    <s v="Delivered"/>
    <s v="TRK14566395"/>
    <n v="1"/>
    <s v="WINTER15"/>
    <x v="2"/>
    <n v="26.95"/>
  </r>
  <r>
    <x v="923"/>
    <x v="5"/>
    <n v="4"/>
    <n v="64.69"/>
    <s v="638 Main St"/>
    <s v="Debit Card"/>
    <s v="Shipped"/>
    <s v="TRK10003020"/>
    <n v="7"/>
    <s v="WINTER15"/>
    <x v="4"/>
    <n v="258.76"/>
  </r>
  <r>
    <x v="924"/>
    <x v="5"/>
    <n v="3"/>
    <n v="247.11"/>
    <s v="821 Main St"/>
    <s v="Debit Card"/>
    <s v="Returned"/>
    <s v="TRK18896595"/>
    <n v="3"/>
    <s v="WINTER15"/>
    <x v="1"/>
    <n v="741.33"/>
  </r>
  <r>
    <x v="925"/>
    <x v="2"/>
    <n v="2"/>
    <n v="536.25"/>
    <s v="553 Main St"/>
    <s v="Debit Card"/>
    <s v="Pending"/>
    <s v="TRK71803414"/>
    <n v="3"/>
    <s v="NA"/>
    <x v="2"/>
    <n v="1072.5"/>
  </r>
  <r>
    <x v="926"/>
    <x v="1"/>
    <n v="2"/>
    <n v="456.04"/>
    <s v="382 Main St"/>
    <s v="Debit Card"/>
    <s v="Returned"/>
    <s v="TRK28182447"/>
    <n v="4"/>
    <s v="FREESHIP"/>
    <x v="2"/>
    <n v="912.08"/>
  </r>
  <r>
    <x v="927"/>
    <x v="4"/>
    <n v="2"/>
    <n v="40.229999999999997"/>
    <s v="623 Main St"/>
    <s v="Credit Card"/>
    <s v="Cancelled"/>
    <s v="TRK87567926"/>
    <n v="4"/>
    <s v="SAVE10"/>
    <x v="4"/>
    <n v="80.459999999999994"/>
  </r>
  <r>
    <x v="928"/>
    <x v="5"/>
    <n v="2"/>
    <n v="72.39"/>
    <s v="168 Main St"/>
    <s v="Online"/>
    <s v="Delivered"/>
    <s v="TRK15334251"/>
    <n v="7"/>
    <s v="WINTER15"/>
    <x v="0"/>
    <n v="144.78"/>
  </r>
  <r>
    <x v="929"/>
    <x v="0"/>
    <n v="2"/>
    <n v="394.16"/>
    <s v="255 Main St"/>
    <s v="Online"/>
    <s v="Shipped"/>
    <s v="TRK43718093"/>
    <n v="2"/>
    <s v="NA"/>
    <x v="1"/>
    <n v="788.32"/>
  </r>
  <r>
    <x v="930"/>
    <x v="5"/>
    <n v="4"/>
    <n v="119.84"/>
    <s v="692 Main St"/>
    <s v="Gift Card"/>
    <s v="Shipped"/>
    <s v="TRK85790948"/>
    <n v="8"/>
    <s v="FREESHIP"/>
    <x v="1"/>
    <n v="479.36"/>
  </r>
  <r>
    <x v="931"/>
    <x v="1"/>
    <n v="3"/>
    <n v="692.71"/>
    <s v="398 Main St"/>
    <s v="Credit Card"/>
    <s v="Delivered"/>
    <s v="TRK62405253"/>
    <n v="3"/>
    <s v="FREESHIP"/>
    <x v="0"/>
    <n v="2078.13"/>
  </r>
  <r>
    <x v="932"/>
    <x v="3"/>
    <n v="4"/>
    <n v="56.66"/>
    <s v="737 Main St"/>
    <s v="Online"/>
    <s v="Delivered"/>
    <s v="TRK44140968"/>
    <n v="4"/>
    <s v="SAVE10"/>
    <x v="0"/>
    <n v="226.64"/>
  </r>
  <r>
    <x v="933"/>
    <x v="3"/>
    <n v="2"/>
    <n v="298.52999999999997"/>
    <s v="536 Main St"/>
    <s v="Debit Card"/>
    <s v="Cancelled"/>
    <s v="TRK46221436"/>
    <n v="5"/>
    <s v="WINTER15"/>
    <x v="2"/>
    <n v="597.05999999999995"/>
  </r>
  <r>
    <x v="934"/>
    <x v="3"/>
    <n v="3"/>
    <n v="331.46"/>
    <s v="696 Main St"/>
    <s v="Credit Card"/>
    <s v="Cancelled"/>
    <s v="TRK91155214"/>
    <n v="6"/>
    <s v="WINTER15"/>
    <x v="1"/>
    <n v="994.37999999999988"/>
  </r>
  <r>
    <x v="935"/>
    <x v="5"/>
    <n v="2"/>
    <n v="521.4"/>
    <s v="212 Main St"/>
    <s v="Cash"/>
    <s v="Delivered"/>
    <s v="TRK53152886"/>
    <n v="7"/>
    <s v="SAVE10"/>
    <x v="0"/>
    <n v="1042.8"/>
  </r>
  <r>
    <x v="936"/>
    <x v="4"/>
    <n v="4"/>
    <n v="305.32"/>
    <s v="679 Main St"/>
    <s v="Online"/>
    <s v="Cancelled"/>
    <s v="TRK91525779"/>
    <n v="4"/>
    <s v="SAVE10"/>
    <x v="4"/>
    <n v="1221.28"/>
  </r>
  <r>
    <x v="439"/>
    <x v="4"/>
    <n v="5"/>
    <n v="111.7"/>
    <s v="599 Main St"/>
    <s v="Credit Card"/>
    <s v="Cancelled"/>
    <s v="TRK82162952"/>
    <n v="9"/>
    <s v="FREESHIP"/>
    <x v="2"/>
    <n v="558.5"/>
  </r>
  <r>
    <x v="937"/>
    <x v="2"/>
    <n v="1"/>
    <n v="479.76"/>
    <s v="882 Main St"/>
    <s v="Credit Card"/>
    <s v="Pending"/>
    <s v="TRK56070470"/>
    <n v="1"/>
    <s v="NA"/>
    <x v="2"/>
    <n v="479.76"/>
  </r>
  <r>
    <x v="938"/>
    <x v="0"/>
    <n v="3"/>
    <n v="193.49"/>
    <s v="355 Main St"/>
    <s v="Gift Card"/>
    <s v="Returned"/>
    <s v="TRK71594838"/>
    <n v="6"/>
    <s v="FREESHIP"/>
    <x v="3"/>
    <n v="580.47"/>
  </r>
  <r>
    <x v="939"/>
    <x v="5"/>
    <n v="2"/>
    <n v="426.22"/>
    <s v="448 Main St"/>
    <s v="Online"/>
    <s v="Delivered"/>
    <s v="TRK98284560"/>
    <n v="7"/>
    <s v="WINTER15"/>
    <x v="4"/>
    <n v="852.44"/>
  </r>
  <r>
    <x v="940"/>
    <x v="2"/>
    <n v="5"/>
    <n v="276.44"/>
    <s v="619 Main St"/>
    <s v="Gift Card"/>
    <s v="Shipped"/>
    <s v="TRK29976438"/>
    <n v="10"/>
    <s v="FREESHIP"/>
    <x v="1"/>
    <n v="1382.2"/>
  </r>
  <r>
    <x v="941"/>
    <x v="1"/>
    <n v="2"/>
    <n v="404.96"/>
    <s v="546 Main St"/>
    <s v="Cash"/>
    <s v="Shipped"/>
    <s v="TRK20626179"/>
    <n v="4"/>
    <s v="SAVE10"/>
    <x v="2"/>
    <n v="809.92"/>
  </r>
  <r>
    <x v="942"/>
    <x v="1"/>
    <n v="4"/>
    <n v="465.66"/>
    <s v="119 Main St"/>
    <s v="Online"/>
    <s v="Returned"/>
    <s v="TRK65994177"/>
    <n v="9"/>
    <s v="FREESHIP"/>
    <x v="2"/>
    <n v="1862.64"/>
  </r>
  <r>
    <x v="445"/>
    <x v="1"/>
    <n v="2"/>
    <n v="594.07000000000005"/>
    <s v="739 Main St"/>
    <s v="Gift Card"/>
    <s v="Cancelled"/>
    <s v="TRK79269291"/>
    <n v="2"/>
    <s v="NA"/>
    <x v="4"/>
    <n v="1188.1400000000001"/>
  </r>
  <r>
    <x v="943"/>
    <x v="6"/>
    <n v="5"/>
    <n v="110.38"/>
    <s v="319 Main St"/>
    <s v="Cash"/>
    <s v="Pending"/>
    <s v="TRK93797108"/>
    <n v="10"/>
    <s v="NA"/>
    <x v="1"/>
    <n v="551.9"/>
  </r>
  <r>
    <x v="944"/>
    <x v="5"/>
    <n v="1"/>
    <n v="596.24"/>
    <s v="891 Main St"/>
    <s v="Credit Card"/>
    <s v="Returned"/>
    <s v="TRK78094361"/>
    <n v="4"/>
    <s v="FREESHIP"/>
    <x v="0"/>
    <n v="596.24"/>
  </r>
  <r>
    <x v="945"/>
    <x v="4"/>
    <n v="2"/>
    <n v="306.24"/>
    <s v="589 Main St"/>
    <s v="Online"/>
    <s v="Returned"/>
    <s v="TRK39845914"/>
    <n v="4"/>
    <s v="FREESHIP"/>
    <x v="2"/>
    <n v="612.48"/>
  </r>
  <r>
    <x v="946"/>
    <x v="0"/>
    <n v="3"/>
    <n v="503.39"/>
    <s v="225 Main St"/>
    <s v="Online"/>
    <s v="Pending"/>
    <s v="TRK45303393"/>
    <n v="5"/>
    <s v="NA"/>
    <x v="3"/>
    <n v="1510.17"/>
  </r>
  <r>
    <x v="947"/>
    <x v="1"/>
    <n v="1"/>
    <n v="131.61000000000001"/>
    <s v="971 Main St"/>
    <s v="Cash"/>
    <s v="Shipped"/>
    <s v="TRK89392104"/>
    <n v="2"/>
    <s v="FREESHIP"/>
    <x v="3"/>
    <n v="131.61000000000001"/>
  </r>
  <r>
    <x v="948"/>
    <x v="3"/>
    <n v="3"/>
    <n v="443.44"/>
    <s v="240 Main St"/>
    <s v="Gift Card"/>
    <s v="Shipped"/>
    <s v="TRK58273778"/>
    <n v="3"/>
    <s v="FREESHIP"/>
    <x v="4"/>
    <n v="1330.32"/>
  </r>
  <r>
    <x v="949"/>
    <x v="3"/>
    <n v="1"/>
    <n v="408.13"/>
    <s v="164 Main St"/>
    <s v="Gift Card"/>
    <s v="Shipped"/>
    <s v="TRK25779180"/>
    <n v="3"/>
    <s v="WINTER15"/>
    <x v="0"/>
    <n v="408.13"/>
  </r>
  <r>
    <x v="781"/>
    <x v="1"/>
    <n v="2"/>
    <n v="160.97999999999999"/>
    <s v="381 Main St"/>
    <s v="Debit Card"/>
    <s v="Delivered"/>
    <s v="TRK86246309"/>
    <n v="3"/>
    <s v="SAVE10"/>
    <x v="1"/>
    <n v="321.95999999999998"/>
  </r>
  <r>
    <x v="950"/>
    <x v="0"/>
    <n v="5"/>
    <n v="643.89"/>
    <s v="851 Main St"/>
    <s v="Cash"/>
    <s v="Returned"/>
    <s v="TRK23387612"/>
    <n v="8"/>
    <s v="WINTER15"/>
    <x v="3"/>
    <n v="3219.45"/>
  </r>
  <r>
    <x v="951"/>
    <x v="6"/>
    <n v="3"/>
    <n v="158.66"/>
    <s v="537 Main St"/>
    <s v="Gift Card"/>
    <s v="Delivered"/>
    <s v="TRK70184320"/>
    <n v="7"/>
    <s v="WINTER15"/>
    <x v="2"/>
    <n v="475.98"/>
  </r>
  <r>
    <x v="952"/>
    <x v="2"/>
    <n v="2"/>
    <n v="143.82"/>
    <s v="856 Main St"/>
    <s v="Credit Card"/>
    <s v="Returned"/>
    <s v="TRK74579570"/>
    <n v="6"/>
    <s v="SAVE10"/>
    <x v="0"/>
    <n v="287.64"/>
  </r>
  <r>
    <x v="953"/>
    <x v="5"/>
    <n v="3"/>
    <n v="379.07"/>
    <s v="312 Main St"/>
    <s v="Gift Card"/>
    <s v="Pending"/>
    <s v="TRK60383805"/>
    <n v="3"/>
    <s v="WINTER15"/>
    <x v="4"/>
    <n v="1137.21"/>
  </r>
  <r>
    <x v="954"/>
    <x v="1"/>
    <n v="1"/>
    <n v="601.36"/>
    <s v="532 Main St"/>
    <s v="Online"/>
    <s v="Shipped"/>
    <s v="TRK81178598"/>
    <n v="1"/>
    <s v="NA"/>
    <x v="3"/>
    <n v="601.36"/>
  </r>
  <r>
    <x v="955"/>
    <x v="1"/>
    <n v="2"/>
    <n v="142.08000000000001"/>
    <s v="838 Main St"/>
    <s v="Gift Card"/>
    <s v="Delivered"/>
    <s v="TRK30674085"/>
    <n v="4"/>
    <s v="SAVE10"/>
    <x v="1"/>
    <n v="284.16000000000003"/>
  </r>
  <r>
    <x v="956"/>
    <x v="3"/>
    <n v="5"/>
    <n v="530.34"/>
    <s v="970 Main St"/>
    <s v="Online"/>
    <s v="Shipped"/>
    <s v="TRK42832976"/>
    <n v="9"/>
    <s v="FREESHIP"/>
    <x v="4"/>
    <n v="2651.7"/>
  </r>
  <r>
    <x v="957"/>
    <x v="1"/>
    <n v="5"/>
    <n v="364.42"/>
    <s v="778 Main St"/>
    <s v="Credit Card"/>
    <s v="Cancelled"/>
    <s v="TRK43084595"/>
    <n v="10"/>
    <s v="SAVE10"/>
    <x v="1"/>
    <n v="1822.1"/>
  </r>
  <r>
    <x v="958"/>
    <x v="5"/>
    <n v="4"/>
    <n v="578.28"/>
    <s v="791 Main St"/>
    <s v="Gift Card"/>
    <s v="Cancelled"/>
    <s v="TRK22192783"/>
    <n v="5"/>
    <s v="FREESHIP"/>
    <x v="2"/>
    <n v="2313.12"/>
  </r>
  <r>
    <x v="959"/>
    <x v="0"/>
    <n v="5"/>
    <n v="280.52"/>
    <s v="290 Main St"/>
    <s v="Credit Card"/>
    <s v="Cancelled"/>
    <s v="TRK12981657"/>
    <n v="7"/>
    <s v="WINTER15"/>
    <x v="3"/>
    <n v="1402.6"/>
  </r>
  <r>
    <x v="960"/>
    <x v="2"/>
    <n v="5"/>
    <n v="638.91999999999996"/>
    <s v="502 Main St"/>
    <s v="Credit Card"/>
    <s v="Returned"/>
    <s v="TRK67403284"/>
    <n v="5"/>
    <s v="FREESHIP"/>
    <x v="4"/>
    <n v="3194.6"/>
  </r>
  <r>
    <x v="961"/>
    <x v="0"/>
    <n v="4"/>
    <n v="412.2"/>
    <s v="664 Main St"/>
    <s v="Credit Card"/>
    <s v="Shipped"/>
    <s v="TRK72602178"/>
    <n v="6"/>
    <s v="WINTER15"/>
    <x v="1"/>
    <n v="1648.8"/>
  </r>
  <r>
    <x v="962"/>
    <x v="6"/>
    <n v="1"/>
    <n v="440.34"/>
    <s v="675 Main St"/>
    <s v="Gift Card"/>
    <s v="Shipped"/>
    <s v="TRK25383993"/>
    <n v="2"/>
    <s v="WINTER15"/>
    <x v="3"/>
    <n v="440.34"/>
  </r>
  <r>
    <x v="963"/>
    <x v="6"/>
    <n v="1"/>
    <n v="627.15"/>
    <s v="241 Main St"/>
    <s v="Cash"/>
    <s v="Delivered"/>
    <s v="TRK86694331"/>
    <n v="5"/>
    <s v="SAVE10"/>
    <x v="0"/>
    <n v="627.15"/>
  </r>
  <r>
    <x v="964"/>
    <x v="0"/>
    <n v="2"/>
    <n v="605.26"/>
    <s v="934 Main St"/>
    <s v="Cash"/>
    <s v="Cancelled"/>
    <s v="TRK66648743"/>
    <n v="4"/>
    <s v="WINTER15"/>
    <x v="1"/>
    <n v="1210.52"/>
  </r>
  <r>
    <x v="965"/>
    <x v="5"/>
    <n v="1"/>
    <n v="90.27"/>
    <s v="816 Main St"/>
    <s v="Cash"/>
    <s v="Delivered"/>
    <s v="TRK32035271"/>
    <n v="5"/>
    <s v="SAVE10"/>
    <x v="3"/>
    <n v="90.27"/>
  </r>
  <r>
    <x v="966"/>
    <x v="6"/>
    <n v="5"/>
    <n v="230.77"/>
    <s v="141 Main St"/>
    <s v="Online"/>
    <s v="Pending"/>
    <s v="TRK50594008"/>
    <n v="10"/>
    <s v="WINTER15"/>
    <x v="1"/>
    <n v="1153.8499999999999"/>
  </r>
  <r>
    <x v="967"/>
    <x v="6"/>
    <n v="5"/>
    <n v="266.77999999999997"/>
    <s v="274 Main St"/>
    <s v="Gift Card"/>
    <s v="Cancelled"/>
    <s v="TRK52088168"/>
    <n v="5"/>
    <s v="NA"/>
    <x v="2"/>
    <n v="1333.9"/>
  </r>
  <r>
    <x v="968"/>
    <x v="6"/>
    <n v="1"/>
    <n v="105.92"/>
    <s v="974 Main St"/>
    <s v="Gift Card"/>
    <s v="Returned"/>
    <s v="TRK82165408"/>
    <n v="6"/>
    <s v="SAVE10"/>
    <x v="2"/>
    <n v="105.92"/>
  </r>
  <r>
    <x v="969"/>
    <x v="2"/>
    <n v="3"/>
    <n v="589.29999999999995"/>
    <s v="650 Main St"/>
    <s v="Credit Card"/>
    <s v="Returned"/>
    <s v="TRK49298239"/>
    <n v="6"/>
    <s v="WINTER15"/>
    <x v="1"/>
    <n v="1767.9"/>
  </r>
  <r>
    <x v="970"/>
    <x v="3"/>
    <n v="4"/>
    <n v="649.47"/>
    <s v="608 Main St"/>
    <s v="Cash"/>
    <s v="Pending"/>
    <s v="TRK99820544"/>
    <n v="8"/>
    <s v="SAVE10"/>
    <x v="4"/>
    <n v="2597.88"/>
  </r>
  <r>
    <x v="971"/>
    <x v="4"/>
    <n v="4"/>
    <n v="107.49"/>
    <s v="993 Main St"/>
    <s v="Cash"/>
    <s v="Delivered"/>
    <s v="TRK61047536"/>
    <n v="5"/>
    <s v="NA"/>
    <x v="4"/>
    <n v="429.96"/>
  </r>
  <r>
    <x v="972"/>
    <x v="0"/>
    <n v="3"/>
    <n v="669.06"/>
    <s v="299 Main St"/>
    <s v="Cash"/>
    <s v="Delivered"/>
    <s v="TRK51794806"/>
    <n v="7"/>
    <s v="SAVE10"/>
    <x v="3"/>
    <n v="2007.18"/>
  </r>
  <r>
    <x v="973"/>
    <x v="3"/>
    <n v="3"/>
    <n v="69.650000000000006"/>
    <s v="107 Main St"/>
    <s v="Cash"/>
    <s v="Delivered"/>
    <s v="TRK81093218"/>
    <n v="7"/>
    <s v="WINTER15"/>
    <x v="0"/>
    <n v="208.95"/>
  </r>
  <r>
    <x v="974"/>
    <x v="1"/>
    <n v="4"/>
    <n v="136.83000000000001"/>
    <s v="490 Main St"/>
    <s v="Debit Card"/>
    <s v="Pending"/>
    <s v="TRK56379337"/>
    <n v="8"/>
    <s v="SAVE10"/>
    <x v="2"/>
    <n v="547.32000000000005"/>
  </r>
  <r>
    <x v="975"/>
    <x v="0"/>
    <n v="1"/>
    <n v="304.11"/>
    <s v="707 Main St"/>
    <s v="Gift Card"/>
    <s v="Shipped"/>
    <s v="TRK42969065"/>
    <n v="2"/>
    <s v="SAVE10"/>
    <x v="1"/>
    <n v="304.11"/>
  </r>
  <r>
    <x v="976"/>
    <x v="0"/>
    <n v="4"/>
    <n v="296.27999999999997"/>
    <s v="110 Main St"/>
    <s v="Gift Card"/>
    <s v="Shipped"/>
    <s v="TRK60865210"/>
    <n v="5"/>
    <s v="SAVE10"/>
    <x v="2"/>
    <n v="1185.1199999999999"/>
  </r>
  <r>
    <x v="977"/>
    <x v="6"/>
    <n v="1"/>
    <n v="77.64"/>
    <s v="706 Main St"/>
    <s v="Credit Card"/>
    <s v="Shipped"/>
    <s v="TRK68704764"/>
    <n v="1"/>
    <s v="FREESHIP"/>
    <x v="3"/>
    <n v="77.64"/>
  </r>
  <r>
    <x v="978"/>
    <x v="6"/>
    <n v="1"/>
    <n v="243.71"/>
    <s v="948 Main St"/>
    <s v="Gift Card"/>
    <s v="Delivered"/>
    <s v="TRK83835361"/>
    <n v="6"/>
    <s v="SAVE10"/>
    <x v="4"/>
    <n v="243.71"/>
  </r>
  <r>
    <x v="979"/>
    <x v="5"/>
    <n v="4"/>
    <n v="644.96"/>
    <s v="533 Main St"/>
    <s v="Credit Card"/>
    <s v="Pending"/>
    <s v="TRK67837331"/>
    <n v="7"/>
    <s v="FREESHIP"/>
    <x v="2"/>
    <n v="2579.84"/>
  </r>
  <r>
    <x v="980"/>
    <x v="1"/>
    <n v="5"/>
    <n v="283.73"/>
    <s v="436 Main St"/>
    <s v="Gift Card"/>
    <s v="Pending"/>
    <s v="TRK54120003"/>
    <n v="8"/>
    <s v="FREESHIP"/>
    <x v="0"/>
    <n v="1418.65"/>
  </r>
  <r>
    <x v="981"/>
    <x v="6"/>
    <n v="2"/>
    <n v="629.55999999999995"/>
    <s v="818 Main St"/>
    <s v="Gift Card"/>
    <s v="Cancelled"/>
    <s v="TRK52765043"/>
    <n v="5"/>
    <s v="WINTER15"/>
    <x v="0"/>
    <n v="1259.1199999999999"/>
  </r>
  <r>
    <x v="982"/>
    <x v="5"/>
    <n v="4"/>
    <n v="246.11"/>
    <s v="559 Main St"/>
    <s v="Credit Card"/>
    <s v="Pending"/>
    <s v="TRK33212013"/>
    <n v="4"/>
    <s v="SAVE10"/>
    <x v="0"/>
    <n v="984.44"/>
  </r>
  <r>
    <x v="983"/>
    <x v="1"/>
    <n v="2"/>
    <n v="418.26"/>
    <s v="913 Main St"/>
    <s v="Debit Card"/>
    <s v="Pending"/>
    <s v="TRK67368559"/>
    <n v="2"/>
    <s v="SAVE10"/>
    <x v="4"/>
    <n v="836.52"/>
  </r>
  <r>
    <x v="984"/>
    <x v="6"/>
    <n v="5"/>
    <n v="127.18"/>
    <s v="598 Main St"/>
    <s v="Debit Card"/>
    <s v="Cancelled"/>
    <s v="TRK68938335"/>
    <n v="10"/>
    <s v="FREESHIP"/>
    <x v="4"/>
    <n v="635.90000000000009"/>
  </r>
  <r>
    <x v="985"/>
    <x v="4"/>
    <n v="3"/>
    <n v="586.21"/>
    <s v="933 Main St"/>
    <s v="Gift Card"/>
    <s v="Pending"/>
    <s v="TRK89637569"/>
    <n v="4"/>
    <s v="WINTER15"/>
    <x v="1"/>
    <n v="1758.63"/>
  </r>
  <r>
    <x v="986"/>
    <x v="0"/>
    <n v="3"/>
    <n v="267.45"/>
    <s v="576 Main St"/>
    <s v="Gift Card"/>
    <s v="Delivered"/>
    <s v="TRK33323210"/>
    <n v="5"/>
    <s v="WINTER15"/>
    <x v="0"/>
    <n v="802.34999999999991"/>
  </r>
  <r>
    <x v="987"/>
    <x v="2"/>
    <n v="4"/>
    <n v="615.65"/>
    <s v="971 Main St"/>
    <s v="Debit Card"/>
    <s v="Delivered"/>
    <s v="TRK63701318"/>
    <n v="9"/>
    <s v="WINTER15"/>
    <x v="4"/>
    <n v="2462.6"/>
  </r>
  <r>
    <x v="988"/>
    <x v="0"/>
    <n v="2"/>
    <n v="113.29"/>
    <s v="959 Main St"/>
    <s v="Cash"/>
    <s v="Pending"/>
    <s v="TRK87832736"/>
    <n v="5"/>
    <s v="SAVE10"/>
    <x v="3"/>
    <n v="226.58"/>
  </r>
  <r>
    <x v="989"/>
    <x v="0"/>
    <n v="4"/>
    <n v="473.86"/>
    <s v="101 Main St"/>
    <s v="Debit Card"/>
    <s v="Delivered"/>
    <s v="TRK92240846"/>
    <n v="7"/>
    <s v="SAVE10"/>
    <x v="3"/>
    <n v="1895.44"/>
  </r>
  <r>
    <x v="990"/>
    <x v="5"/>
    <n v="3"/>
    <n v="444.75"/>
    <s v="805 Main St"/>
    <s v="Cash"/>
    <s v="Delivered"/>
    <s v="TRK40616861"/>
    <n v="6"/>
    <s v="SAVE10"/>
    <x v="3"/>
    <n v="1334.25"/>
  </r>
  <r>
    <x v="991"/>
    <x v="1"/>
    <n v="2"/>
    <n v="183.67"/>
    <s v="783 Main St"/>
    <s v="Debit Card"/>
    <s v="Cancelled"/>
    <s v="TRK22824230"/>
    <n v="6"/>
    <s v="SAVE10"/>
    <x v="4"/>
    <n v="367.34"/>
  </r>
  <r>
    <x v="992"/>
    <x v="4"/>
    <n v="1"/>
    <n v="483.38"/>
    <s v="652 Main St"/>
    <s v="Cash"/>
    <s v="Pending"/>
    <s v="TRK43983841"/>
    <n v="6"/>
    <s v="FREESHIP"/>
    <x v="4"/>
    <n v="483.38"/>
  </r>
  <r>
    <x v="993"/>
    <x v="4"/>
    <n v="5"/>
    <n v="260.93"/>
    <s v="582 Main St"/>
    <s v="Online"/>
    <s v="Delivered"/>
    <s v="TRK52664903"/>
    <n v="9"/>
    <s v="SAVE10"/>
    <x v="2"/>
    <n v="1304.6500000000001"/>
  </r>
  <r>
    <x v="994"/>
    <x v="4"/>
    <n v="2"/>
    <n v="253.68"/>
    <s v="122 Main St"/>
    <s v="Gift Card"/>
    <s v="Shipped"/>
    <s v="TRK19554327"/>
    <n v="6"/>
    <s v="NA"/>
    <x v="1"/>
    <n v="507.36"/>
  </r>
  <r>
    <x v="995"/>
    <x v="2"/>
    <n v="4"/>
    <n v="699.88"/>
    <s v="944 Main St"/>
    <s v="Cash"/>
    <s v="Pending"/>
    <s v="TRK33188106"/>
    <n v="5"/>
    <s v="WINTER15"/>
    <x v="1"/>
    <n v="2799.52"/>
  </r>
  <r>
    <x v="996"/>
    <x v="4"/>
    <n v="5"/>
    <n v="319.97000000000003"/>
    <s v="582 Main St"/>
    <s v="Cash"/>
    <s v="Shipped"/>
    <s v="TRK14706969"/>
    <n v="7"/>
    <s v="SAVE10"/>
    <x v="4"/>
    <n v="1599.85"/>
  </r>
  <r>
    <x v="997"/>
    <x v="3"/>
    <n v="4"/>
    <n v="246.91"/>
    <s v="296 Main St"/>
    <s v="Online"/>
    <s v="Pending"/>
    <s v="TRK15739505"/>
    <n v="8"/>
    <s v="SAVE10"/>
    <x v="1"/>
    <n v="987.64"/>
  </r>
  <r>
    <x v="998"/>
    <x v="4"/>
    <n v="3"/>
    <n v="392.85"/>
    <s v="426 Main St"/>
    <s v="Credit Card"/>
    <s v="Returned"/>
    <s v="TRK11448295"/>
    <n v="6"/>
    <s v="NA"/>
    <x v="4"/>
    <n v="1178.55"/>
  </r>
  <r>
    <x v="999"/>
    <x v="2"/>
    <n v="5"/>
    <n v="420.98"/>
    <s v="860 Main St"/>
    <s v="Cash"/>
    <s v="Delivered"/>
    <s v="TRK91458233"/>
    <n v="7"/>
    <s v="SAVE10"/>
    <x v="3"/>
    <n v="2104.9"/>
  </r>
  <r>
    <x v="485"/>
    <x v="0"/>
    <n v="2"/>
    <n v="73.260000000000005"/>
    <s v="839 Main St"/>
    <s v="Cash"/>
    <s v="Pending"/>
    <s v="TRK60444502"/>
    <n v="4"/>
    <s v="WINTER15"/>
    <x v="3"/>
    <n v="146.52000000000001"/>
  </r>
  <r>
    <x v="1000"/>
    <x v="0"/>
    <n v="3"/>
    <n v="410.88"/>
    <s v="257 Main St"/>
    <s v="Cash"/>
    <s v="Delivered"/>
    <s v="TRK12742366"/>
    <n v="8"/>
    <s v="FREESHIP"/>
    <x v="0"/>
    <n v="1232.6400000000001"/>
  </r>
  <r>
    <x v="1001"/>
    <x v="2"/>
    <n v="2"/>
    <n v="176.46"/>
    <s v="696 Main St"/>
    <s v="Credit Card"/>
    <s v="Delivered"/>
    <s v="TRK95958645"/>
    <n v="2"/>
    <s v="FREESHIP"/>
    <x v="2"/>
    <n v="352.92"/>
  </r>
  <r>
    <x v="1002"/>
    <x v="0"/>
    <n v="3"/>
    <n v="659.57"/>
    <s v="533 Main St"/>
    <s v="Credit Card"/>
    <s v="Cancelled"/>
    <s v="TRK35649833"/>
    <n v="6"/>
    <s v="SAVE10"/>
    <x v="2"/>
    <n v="1978.71"/>
  </r>
  <r>
    <x v="1003"/>
    <x v="1"/>
    <n v="2"/>
    <n v="478.36"/>
    <s v="654 Main St"/>
    <s v="Online"/>
    <s v="Shipped"/>
    <s v="TRK22271097"/>
    <n v="3"/>
    <s v="NA"/>
    <x v="4"/>
    <n v="956.72"/>
  </r>
  <r>
    <x v="1004"/>
    <x v="4"/>
    <n v="4"/>
    <n v="30.05"/>
    <s v="301 Main St"/>
    <s v="Online"/>
    <s v="Returned"/>
    <s v="TRK12551882"/>
    <n v="6"/>
    <s v="NA"/>
    <x v="3"/>
    <n v="120.2"/>
  </r>
  <r>
    <x v="1005"/>
    <x v="5"/>
    <n v="4"/>
    <n v="300.56"/>
    <s v="842 Main St"/>
    <s v="Cash"/>
    <s v="Cancelled"/>
    <s v="TRK49568409"/>
    <n v="9"/>
    <s v="FREESHIP"/>
    <x v="3"/>
    <n v="1202.24"/>
  </r>
  <r>
    <x v="1006"/>
    <x v="2"/>
    <n v="5"/>
    <n v="226.45"/>
    <s v="160 Main St"/>
    <s v="Debit Card"/>
    <s v="Returned"/>
    <s v="TRK21682892"/>
    <n v="6"/>
    <s v="FREESHIP"/>
    <x v="2"/>
    <n v="1132.25"/>
  </r>
  <r>
    <x v="1007"/>
    <x v="4"/>
    <n v="2"/>
    <n v="349.4"/>
    <s v="892 Main St"/>
    <s v="Online"/>
    <s v="Shipped"/>
    <s v="TRK73249329"/>
    <n v="2"/>
    <s v="SAVE10"/>
    <x v="0"/>
    <n v="698.8"/>
  </r>
  <r>
    <x v="1008"/>
    <x v="2"/>
    <n v="5"/>
    <n v="268.77999999999997"/>
    <s v="669 Main St"/>
    <s v="Debit Card"/>
    <s v="Delivered"/>
    <s v="TRK62135578"/>
    <n v="7"/>
    <s v="WINTER15"/>
    <x v="2"/>
    <n v="1343.9"/>
  </r>
  <r>
    <x v="1009"/>
    <x v="3"/>
    <n v="2"/>
    <n v="680.85"/>
    <s v="953 Main St"/>
    <s v="Gift Card"/>
    <s v="Delivered"/>
    <s v="TRK83122112"/>
    <n v="6"/>
    <s v="FREESHIP"/>
    <x v="1"/>
    <n v="1361.7"/>
  </r>
  <r>
    <x v="1010"/>
    <x v="5"/>
    <n v="3"/>
    <n v="182.48"/>
    <s v="209 Main St"/>
    <s v="Cash"/>
    <s v="Delivered"/>
    <s v="TRK20703086"/>
    <n v="3"/>
    <s v="NA"/>
    <x v="0"/>
    <n v="547.43999999999994"/>
  </r>
  <r>
    <x v="1011"/>
    <x v="6"/>
    <n v="1"/>
    <n v="277.08999999999997"/>
    <s v="293 Main St"/>
    <s v="Cash"/>
    <s v="Returned"/>
    <s v="TRK32954229"/>
    <n v="2"/>
    <s v="SAVE10"/>
    <x v="1"/>
    <n v="277.08999999999997"/>
  </r>
  <r>
    <x v="1012"/>
    <x v="2"/>
    <n v="2"/>
    <n v="26.5"/>
    <s v="312 Main St"/>
    <s v="Online"/>
    <s v="Delivered"/>
    <s v="TRK47787981"/>
    <n v="3"/>
    <s v="SAVE10"/>
    <x v="0"/>
    <n v="53"/>
  </r>
  <r>
    <x v="1013"/>
    <x v="1"/>
    <n v="3"/>
    <n v="315.27"/>
    <s v="309 Main St"/>
    <s v="Credit Card"/>
    <s v="Cancelled"/>
    <s v="TRK97351945"/>
    <n v="4"/>
    <s v="SAVE10"/>
    <x v="2"/>
    <n v="945.81"/>
  </r>
  <r>
    <x v="1014"/>
    <x v="2"/>
    <n v="3"/>
    <n v="450.98"/>
    <s v="396 Main St"/>
    <s v="Credit Card"/>
    <s v="Shipped"/>
    <s v="TRK66537096"/>
    <n v="8"/>
    <s v="SAVE10"/>
    <x v="1"/>
    <n v="1352.94"/>
  </r>
  <r>
    <x v="1015"/>
    <x v="5"/>
    <n v="5"/>
    <n v="233.67"/>
    <s v="291 Main St"/>
    <s v="Cash"/>
    <s v="Shipped"/>
    <s v="TRK32059025"/>
    <n v="10"/>
    <s v="NA"/>
    <x v="1"/>
    <n v="1168.3499999999999"/>
  </r>
  <r>
    <x v="1016"/>
    <x v="3"/>
    <n v="3"/>
    <n v="367.75"/>
    <s v="731 Main St"/>
    <s v="Cash"/>
    <s v="Pending"/>
    <s v="TRK93022878"/>
    <n v="7"/>
    <s v="FREESHIP"/>
    <x v="3"/>
    <n v="1103.25"/>
  </r>
  <r>
    <x v="1017"/>
    <x v="3"/>
    <n v="1"/>
    <n v="23.53"/>
    <s v="174 Main St"/>
    <s v="Gift Card"/>
    <s v="Delivered"/>
    <s v="TRK98841457"/>
    <n v="2"/>
    <s v="FREESHIP"/>
    <x v="0"/>
    <n v="23.53"/>
  </r>
  <r>
    <x v="1018"/>
    <x v="0"/>
    <n v="1"/>
    <n v="677.48"/>
    <s v="807 Main St"/>
    <s v="Online"/>
    <s v="Delivered"/>
    <s v="TRK13281370"/>
    <n v="1"/>
    <s v="WINTER15"/>
    <x v="3"/>
    <n v="677.48"/>
  </r>
  <r>
    <x v="1019"/>
    <x v="5"/>
    <n v="4"/>
    <n v="554.83000000000004"/>
    <s v="983 Main St"/>
    <s v="Cash"/>
    <s v="Returned"/>
    <s v="TRK77377373"/>
    <n v="6"/>
    <s v="NA"/>
    <x v="4"/>
    <n v="2219.3200000000002"/>
  </r>
  <r>
    <x v="1020"/>
    <x v="6"/>
    <n v="4"/>
    <n v="440.31"/>
    <s v="610 Main St"/>
    <s v="Cash"/>
    <s v="Cancelled"/>
    <s v="TRK84651559"/>
    <n v="6"/>
    <s v="NA"/>
    <x v="0"/>
    <n v="1761.24"/>
  </r>
  <r>
    <x v="1021"/>
    <x v="6"/>
    <n v="1"/>
    <n v="87.06"/>
    <s v="851 Main St"/>
    <s v="Credit Card"/>
    <s v="Shipped"/>
    <s v="TRK41500198"/>
    <n v="4"/>
    <s v="FREESHIP"/>
    <x v="2"/>
    <n v="87.06"/>
  </r>
  <r>
    <x v="1022"/>
    <x v="1"/>
    <n v="4"/>
    <n v="245.28"/>
    <s v="176 Main St"/>
    <s v="Credit Card"/>
    <s v="Delivered"/>
    <s v="TRK12936357"/>
    <n v="6"/>
    <s v="WINTER15"/>
    <x v="2"/>
    <n v="981.12"/>
  </r>
  <r>
    <x v="1023"/>
    <x v="1"/>
    <n v="5"/>
    <n v="664.51"/>
    <s v="136 Main St"/>
    <s v="Debit Card"/>
    <s v="Pending"/>
    <s v="TRK18129706"/>
    <n v="8"/>
    <s v="SAVE10"/>
    <x v="2"/>
    <n v="3322.55"/>
  </r>
  <r>
    <x v="1024"/>
    <x v="3"/>
    <n v="1"/>
    <n v="618.67999999999995"/>
    <s v="990 Main St"/>
    <s v="Online"/>
    <s v="Delivered"/>
    <s v="TRK61634201"/>
    <n v="6"/>
    <s v="WINTER15"/>
    <x v="1"/>
    <n v="618.67999999999995"/>
  </r>
  <r>
    <x v="1025"/>
    <x v="0"/>
    <n v="1"/>
    <n v="370.85"/>
    <s v="331 Main St"/>
    <s v="Gift Card"/>
    <s v="Delivered"/>
    <s v="TRK30654048"/>
    <n v="2"/>
    <s v="FREESHIP"/>
    <x v="1"/>
    <n v="370.85"/>
  </r>
  <r>
    <x v="1026"/>
    <x v="4"/>
    <n v="4"/>
    <n v="517.98"/>
    <s v="766 Main St"/>
    <s v="Cash"/>
    <s v="Cancelled"/>
    <s v="TRK76751888"/>
    <n v="8"/>
    <s v="FREESHIP"/>
    <x v="3"/>
    <n v="2071.92"/>
  </r>
  <r>
    <x v="1027"/>
    <x v="5"/>
    <n v="4"/>
    <n v="506.11"/>
    <s v="911 Main St"/>
    <s v="Cash"/>
    <s v="Cancelled"/>
    <s v="TRK97732085"/>
    <n v="5"/>
    <s v="NA"/>
    <x v="1"/>
    <n v="2024.44"/>
  </r>
  <r>
    <x v="1028"/>
    <x v="1"/>
    <n v="3"/>
    <n v="413.83"/>
    <s v="552 Main St"/>
    <s v="Gift Card"/>
    <s v="Shipped"/>
    <s v="TRK49684737"/>
    <n v="8"/>
    <s v="SAVE10"/>
    <x v="3"/>
    <n v="1241.49"/>
  </r>
  <r>
    <x v="1029"/>
    <x v="4"/>
    <n v="1"/>
    <n v="249.81"/>
    <s v="408 Main St"/>
    <s v="Cash"/>
    <s v="Pending"/>
    <s v="TRK54073964"/>
    <n v="1"/>
    <s v="SAVE10"/>
    <x v="4"/>
    <n v="249.81"/>
  </r>
  <r>
    <x v="1030"/>
    <x v="2"/>
    <n v="3"/>
    <n v="362.53"/>
    <s v="422 Main St"/>
    <s v="Debit Card"/>
    <s v="Returned"/>
    <s v="TRK28969024"/>
    <n v="5"/>
    <s v="NA"/>
    <x v="3"/>
    <n v="1087.5899999999999"/>
  </r>
  <r>
    <x v="1031"/>
    <x v="6"/>
    <n v="2"/>
    <n v="299.23"/>
    <s v="177 Main St"/>
    <s v="Credit Card"/>
    <s v="Cancelled"/>
    <s v="TRK79362428"/>
    <n v="2"/>
    <s v="WINTER15"/>
    <x v="0"/>
    <n v="598.46"/>
  </r>
  <r>
    <x v="1032"/>
    <x v="2"/>
    <n v="1"/>
    <n v="536.07000000000005"/>
    <s v="932 Main St"/>
    <s v="Debit Card"/>
    <s v="Delivered"/>
    <s v="TRK66288666"/>
    <n v="5"/>
    <s v="FREESHIP"/>
    <x v="4"/>
    <n v="536.07000000000005"/>
  </r>
  <r>
    <x v="1033"/>
    <x v="0"/>
    <n v="4"/>
    <n v="558.9"/>
    <s v="948 Main St"/>
    <s v="Gift Card"/>
    <s v="Shipped"/>
    <s v="TRK97737564"/>
    <n v="9"/>
    <s v="WINTER15"/>
    <x v="4"/>
    <n v="2235.6"/>
  </r>
  <r>
    <x v="1034"/>
    <x v="2"/>
    <n v="2"/>
    <n v="409.75"/>
    <s v="414 Main St"/>
    <s v="Debit Card"/>
    <s v="Shipped"/>
    <s v="TRK67878272"/>
    <n v="2"/>
    <s v="WINTER15"/>
    <x v="3"/>
    <n v="819.5"/>
  </r>
  <r>
    <x v="1035"/>
    <x v="2"/>
    <n v="2"/>
    <n v="179.96"/>
    <s v="675 Main St"/>
    <s v="Gift Card"/>
    <s v="Shipped"/>
    <s v="TRK94346739"/>
    <n v="5"/>
    <s v="NA"/>
    <x v="0"/>
    <n v="359.92"/>
  </r>
  <r>
    <x v="1036"/>
    <x v="4"/>
    <n v="1"/>
    <n v="38.49"/>
    <s v="215 Main St"/>
    <s v="Credit Card"/>
    <s v="Delivered"/>
    <s v="TRK52335337"/>
    <n v="4"/>
    <s v="FREESHIP"/>
    <x v="1"/>
    <n v="38.49"/>
  </r>
  <r>
    <x v="1037"/>
    <x v="5"/>
    <n v="5"/>
    <n v="316.39999999999998"/>
    <s v="671 Main St"/>
    <s v="Gift Card"/>
    <s v="Returned"/>
    <s v="TRK72012758"/>
    <n v="7"/>
    <s v="NA"/>
    <x v="2"/>
    <n v="1582"/>
  </r>
  <r>
    <x v="1038"/>
    <x v="2"/>
    <n v="3"/>
    <n v="547.15"/>
    <s v="466 Main St"/>
    <s v="Online"/>
    <s v="Shipped"/>
    <s v="TRK16524006"/>
    <n v="4"/>
    <s v="WINTER15"/>
    <x v="0"/>
    <n v="1641.45"/>
  </r>
  <r>
    <x v="1039"/>
    <x v="3"/>
    <n v="4"/>
    <n v="540.34"/>
    <s v="394 Main St"/>
    <s v="Gift Card"/>
    <s v="Shipped"/>
    <s v="TRK69872994"/>
    <n v="6"/>
    <s v="WINTER15"/>
    <x v="1"/>
    <n v="2161.36"/>
  </r>
  <r>
    <x v="1040"/>
    <x v="0"/>
    <n v="4"/>
    <n v="73.650000000000006"/>
    <s v="889 Main St"/>
    <s v="Debit Card"/>
    <s v="Shipped"/>
    <s v="TRK21153699"/>
    <n v="9"/>
    <s v="NA"/>
    <x v="4"/>
    <n v="294.60000000000002"/>
  </r>
  <r>
    <x v="1041"/>
    <x v="6"/>
    <n v="5"/>
    <n v="391.86"/>
    <s v="587 Main St"/>
    <s v="Credit Card"/>
    <s v="Shipped"/>
    <s v="TRK44468232"/>
    <n v="6"/>
    <s v="NA"/>
    <x v="0"/>
    <n v="1959.3"/>
  </r>
  <r>
    <x v="1042"/>
    <x v="5"/>
    <n v="5"/>
    <n v="69.7"/>
    <s v="722 Main St"/>
    <s v="Online"/>
    <s v="Returned"/>
    <s v="TRK49663597"/>
    <n v="9"/>
    <s v="NA"/>
    <x v="0"/>
    <n v="348.5"/>
  </r>
  <r>
    <x v="1043"/>
    <x v="0"/>
    <n v="5"/>
    <n v="26.43"/>
    <s v="820 Main St"/>
    <s v="Gift Card"/>
    <s v="Shipped"/>
    <s v="TRK65097450"/>
    <n v="5"/>
    <s v="FREESHIP"/>
    <x v="3"/>
    <n v="132.15"/>
  </r>
  <r>
    <x v="1044"/>
    <x v="2"/>
    <n v="1"/>
    <n v="531.74"/>
    <s v="493 Main St"/>
    <s v="Online"/>
    <s v="Shipped"/>
    <s v="TRK25145796"/>
    <n v="1"/>
    <s v="WINTER15"/>
    <x v="4"/>
    <n v="531.74"/>
  </r>
  <r>
    <x v="1045"/>
    <x v="1"/>
    <n v="2"/>
    <n v="496.62"/>
    <s v="679 Main St"/>
    <s v="Online"/>
    <s v="Pending"/>
    <s v="TRK37375451"/>
    <n v="2"/>
    <s v="SAVE10"/>
    <x v="0"/>
    <n v="993.24"/>
  </r>
  <r>
    <x v="1046"/>
    <x v="4"/>
    <n v="1"/>
    <n v="660.66"/>
    <s v="447 Main St"/>
    <s v="Debit Card"/>
    <s v="Delivered"/>
    <s v="TRK46415143"/>
    <n v="3"/>
    <s v="WINTER15"/>
    <x v="0"/>
    <n v="660.66"/>
  </r>
  <r>
    <x v="1047"/>
    <x v="0"/>
    <n v="4"/>
    <n v="274.82"/>
    <s v="932 Main St"/>
    <s v="Debit Card"/>
    <s v="Delivered"/>
    <s v="TRK91512567"/>
    <n v="9"/>
    <s v="WINTER15"/>
    <x v="2"/>
    <n v="1099.28"/>
  </r>
  <r>
    <x v="1048"/>
    <x v="1"/>
    <n v="2"/>
    <n v="486.35"/>
    <s v="790 Main St"/>
    <s v="Online"/>
    <s v="Pending"/>
    <s v="TRK49382455"/>
    <n v="6"/>
    <s v="SAVE10"/>
    <x v="1"/>
    <n v="972.7"/>
  </r>
  <r>
    <x v="1049"/>
    <x v="5"/>
    <n v="3"/>
    <n v="428.88"/>
    <s v="535 Main St"/>
    <s v="Debit Card"/>
    <s v="Shipped"/>
    <s v="TRK81611937"/>
    <n v="3"/>
    <s v="WINTER15"/>
    <x v="3"/>
    <n v="1286.6400000000001"/>
  </r>
  <r>
    <x v="1050"/>
    <x v="6"/>
    <n v="2"/>
    <n v="412.14"/>
    <s v="127 Main St"/>
    <s v="Credit Card"/>
    <s v="Returned"/>
    <s v="TRK26949106"/>
    <n v="2"/>
    <s v="FREESHIP"/>
    <x v="0"/>
    <n v="824.28"/>
  </r>
  <r>
    <x v="1051"/>
    <x v="6"/>
    <n v="1"/>
    <n v="265.64"/>
    <s v="601 Main St"/>
    <s v="Credit Card"/>
    <s v="Returned"/>
    <s v="TRK11492924"/>
    <n v="3"/>
    <s v="WINTER15"/>
    <x v="0"/>
    <n v="265.64"/>
  </r>
  <r>
    <x v="1052"/>
    <x v="2"/>
    <n v="2"/>
    <n v="273.43"/>
    <s v="824 Main St"/>
    <s v="Cash"/>
    <s v="Shipped"/>
    <s v="TRK93370912"/>
    <n v="7"/>
    <s v="WINTER15"/>
    <x v="1"/>
    <n v="546.86"/>
  </r>
  <r>
    <x v="1053"/>
    <x v="5"/>
    <n v="5"/>
    <n v="131.69999999999999"/>
    <s v="830 Main St"/>
    <s v="Cash"/>
    <s v="Shipped"/>
    <s v="TRK12402431"/>
    <n v="8"/>
    <s v="FREESHIP"/>
    <x v="4"/>
    <n v="658.5"/>
  </r>
  <r>
    <x v="1054"/>
    <x v="3"/>
    <n v="5"/>
    <n v="85.52"/>
    <s v="301 Main St"/>
    <s v="Gift Card"/>
    <s v="Cancelled"/>
    <s v="TRK65149372"/>
    <n v="5"/>
    <s v="NA"/>
    <x v="3"/>
    <n v="427.6"/>
  </r>
  <r>
    <x v="1055"/>
    <x v="6"/>
    <n v="2"/>
    <n v="320.68"/>
    <s v="336 Main St"/>
    <s v="Credit Card"/>
    <s v="Shipped"/>
    <s v="TRK58407918"/>
    <n v="5"/>
    <s v="FREESHIP"/>
    <x v="1"/>
    <n v="641.36"/>
  </r>
  <r>
    <x v="1056"/>
    <x v="5"/>
    <n v="4"/>
    <n v="198.81"/>
    <s v="654 Main St"/>
    <s v="Cash"/>
    <s v="Returned"/>
    <s v="TRK96074264"/>
    <n v="9"/>
    <s v="FREESHIP"/>
    <x v="1"/>
    <n v="795.24"/>
  </r>
  <r>
    <x v="1057"/>
    <x v="4"/>
    <n v="5"/>
    <n v="666.8"/>
    <s v="488 Main St"/>
    <s v="Debit Card"/>
    <s v="Delivered"/>
    <s v="TRK79504329"/>
    <n v="7"/>
    <s v="SAVE10"/>
    <x v="1"/>
    <n v="3334"/>
  </r>
  <r>
    <x v="1058"/>
    <x v="6"/>
    <n v="1"/>
    <n v="355.09"/>
    <s v="674 Main St"/>
    <s v="Debit Card"/>
    <s v="Cancelled"/>
    <s v="TRK20321248"/>
    <n v="5"/>
    <s v="SAVE10"/>
    <x v="0"/>
    <n v="355.09"/>
  </r>
  <r>
    <x v="1059"/>
    <x v="1"/>
    <n v="2"/>
    <n v="316.2"/>
    <s v="384 Main St"/>
    <s v="Online"/>
    <s v="Returned"/>
    <s v="TRK37426359"/>
    <n v="2"/>
    <s v="NA"/>
    <x v="0"/>
    <n v="632.4"/>
  </r>
  <r>
    <x v="1060"/>
    <x v="5"/>
    <n v="1"/>
    <n v="133.38999999999999"/>
    <s v="469 Main St"/>
    <s v="Debit Card"/>
    <s v="Shipped"/>
    <s v="TRK22073506"/>
    <n v="2"/>
    <s v="SAVE10"/>
    <x v="1"/>
    <n v="133.38999999999999"/>
  </r>
  <r>
    <x v="1061"/>
    <x v="0"/>
    <n v="1"/>
    <n v="454.23"/>
    <s v="255 Main St"/>
    <s v="Gift Card"/>
    <s v="Returned"/>
    <s v="TRK12518384"/>
    <n v="3"/>
    <s v="NA"/>
    <x v="3"/>
    <n v="454.23"/>
  </r>
  <r>
    <x v="1062"/>
    <x v="6"/>
    <n v="4"/>
    <n v="491.29"/>
    <s v="496 Main St"/>
    <s v="Debit Card"/>
    <s v="Pending"/>
    <s v="TRK10926575"/>
    <n v="6"/>
    <s v="NA"/>
    <x v="2"/>
    <n v="1965.16"/>
  </r>
  <r>
    <x v="1063"/>
    <x v="1"/>
    <n v="2"/>
    <n v="255.14"/>
    <s v="216 Main St"/>
    <s v="Cash"/>
    <s v="Shipped"/>
    <s v="TRK47536985"/>
    <n v="2"/>
    <s v="NA"/>
    <x v="4"/>
    <n v="510.28"/>
  </r>
  <r>
    <x v="1064"/>
    <x v="0"/>
    <n v="1"/>
    <n v="392.61"/>
    <s v="977 Main St"/>
    <s v="Gift Card"/>
    <s v="Cancelled"/>
    <s v="TRK14900878"/>
    <n v="4"/>
    <s v="SAVE10"/>
    <x v="1"/>
    <n v="392.61"/>
  </r>
  <r>
    <x v="1065"/>
    <x v="2"/>
    <n v="4"/>
    <n v="362.06"/>
    <s v="294 Main St"/>
    <s v="Debit Card"/>
    <s v="Returned"/>
    <s v="TRK11107152"/>
    <n v="4"/>
    <s v="NA"/>
    <x v="3"/>
    <n v="1448.24"/>
  </r>
  <r>
    <x v="1066"/>
    <x v="1"/>
    <n v="1"/>
    <n v="222.73"/>
    <s v="120 Main St"/>
    <s v="Online"/>
    <s v="Returned"/>
    <s v="TRK81624772"/>
    <n v="4"/>
    <s v="NA"/>
    <x v="4"/>
    <n v="222.73"/>
  </r>
  <r>
    <x v="1067"/>
    <x v="0"/>
    <n v="2"/>
    <n v="552.63"/>
    <s v="609 Main St"/>
    <s v="Debit Card"/>
    <s v="Delivered"/>
    <s v="TRK43066749"/>
    <n v="7"/>
    <s v="WINTER15"/>
    <x v="0"/>
    <n v="1105.26"/>
  </r>
  <r>
    <x v="1068"/>
    <x v="5"/>
    <n v="4"/>
    <n v="686.61"/>
    <s v="176 Main St"/>
    <s v="Cash"/>
    <s v="Shipped"/>
    <s v="TRK52711973"/>
    <n v="6"/>
    <s v="NA"/>
    <x v="1"/>
    <n v="2746.44"/>
  </r>
  <r>
    <x v="1069"/>
    <x v="4"/>
    <n v="3"/>
    <n v="305.16000000000003"/>
    <s v="115 Main St"/>
    <s v="Credit Card"/>
    <s v="Cancelled"/>
    <s v="TRK47775217"/>
    <n v="8"/>
    <s v="SAVE10"/>
    <x v="1"/>
    <n v="915.48"/>
  </r>
  <r>
    <x v="1070"/>
    <x v="6"/>
    <n v="1"/>
    <n v="41.09"/>
    <s v="881 Main St"/>
    <s v="Online"/>
    <s v="Returned"/>
    <s v="TRK90060232"/>
    <n v="4"/>
    <s v="WINTER15"/>
    <x v="2"/>
    <n v="41.09"/>
  </r>
  <r>
    <x v="1071"/>
    <x v="1"/>
    <n v="5"/>
    <n v="634"/>
    <s v="144 Main St"/>
    <s v="Gift Card"/>
    <s v="Delivered"/>
    <s v="TRK99055909"/>
    <n v="8"/>
    <s v="NA"/>
    <x v="2"/>
    <n v="3170"/>
  </r>
  <r>
    <x v="1072"/>
    <x v="5"/>
    <n v="5"/>
    <n v="464.74"/>
    <s v="438 Main St"/>
    <s v="Gift Card"/>
    <s v="Delivered"/>
    <s v="TRK33140293"/>
    <n v="7"/>
    <s v="NA"/>
    <x v="1"/>
    <n v="2323.6999999999998"/>
  </r>
  <r>
    <x v="1073"/>
    <x v="0"/>
    <n v="4"/>
    <n v="425.6"/>
    <s v="494 Main St"/>
    <s v="Credit Card"/>
    <s v="Pending"/>
    <s v="TRK85897054"/>
    <n v="5"/>
    <s v="FREESHIP"/>
    <x v="4"/>
    <n v="1702.4"/>
  </r>
  <r>
    <x v="1074"/>
    <x v="3"/>
    <n v="3"/>
    <n v="573.22"/>
    <s v="177 Main St"/>
    <s v="Debit Card"/>
    <s v="Pending"/>
    <s v="TRK59779174"/>
    <n v="5"/>
    <s v="SAVE10"/>
    <x v="2"/>
    <n v="1719.66"/>
  </r>
  <r>
    <x v="1075"/>
    <x v="3"/>
    <n v="1"/>
    <n v="123.28"/>
    <s v="895 Main St"/>
    <s v="Credit Card"/>
    <s v="Delivered"/>
    <s v="TRK98960285"/>
    <n v="3"/>
    <s v="SAVE10"/>
    <x v="2"/>
    <n v="123.28"/>
  </r>
  <r>
    <x v="1076"/>
    <x v="1"/>
    <n v="1"/>
    <n v="70.819999999999993"/>
    <s v="128 Main St"/>
    <s v="Gift Card"/>
    <s v="Pending"/>
    <s v="TRK41792296"/>
    <n v="1"/>
    <s v="WINTER15"/>
    <x v="0"/>
    <n v="70.819999999999993"/>
  </r>
  <r>
    <x v="1077"/>
    <x v="4"/>
    <n v="2"/>
    <n v="646.69000000000005"/>
    <s v="404 Main St"/>
    <s v="Debit Card"/>
    <s v="Shipped"/>
    <s v="TRK91426444"/>
    <n v="7"/>
    <s v="WINTER15"/>
    <x v="0"/>
    <n v="1293.3800000000001"/>
  </r>
  <r>
    <x v="1078"/>
    <x v="2"/>
    <n v="2"/>
    <n v="513.41999999999996"/>
    <s v="401 Main St"/>
    <s v="Online"/>
    <s v="Pending"/>
    <s v="TRK91439791"/>
    <n v="5"/>
    <s v="WINTER15"/>
    <x v="0"/>
    <n v="1026.8399999999999"/>
  </r>
  <r>
    <x v="1079"/>
    <x v="5"/>
    <n v="4"/>
    <n v="693.07"/>
    <s v="530 Main St"/>
    <s v="Online"/>
    <s v="Shipped"/>
    <s v="TRK48659380"/>
    <n v="8"/>
    <s v="SAVE10"/>
    <x v="0"/>
    <n v="2772.28"/>
  </r>
  <r>
    <x v="1080"/>
    <x v="6"/>
    <n v="3"/>
    <n v="491.43"/>
    <s v="213 Main St"/>
    <s v="Gift Card"/>
    <s v="Shipped"/>
    <s v="TRK21232601"/>
    <n v="6"/>
    <s v="WINTER15"/>
    <x v="0"/>
    <n v="1474.29"/>
  </r>
  <r>
    <x v="1081"/>
    <x v="2"/>
    <n v="2"/>
    <n v="599.74"/>
    <s v="440 Main St"/>
    <s v="Gift Card"/>
    <s v="Shipped"/>
    <s v="TRK66967997"/>
    <n v="2"/>
    <s v="NA"/>
    <x v="0"/>
    <n v="1199.48"/>
  </r>
  <r>
    <x v="1082"/>
    <x v="0"/>
    <n v="2"/>
    <n v="650.25"/>
    <s v="996 Main St"/>
    <s v="Gift Card"/>
    <s v="Returned"/>
    <s v="TRK37022954"/>
    <n v="6"/>
    <s v="NA"/>
    <x v="0"/>
    <n v="1300.5"/>
  </r>
  <r>
    <x v="1083"/>
    <x v="5"/>
    <n v="3"/>
    <n v="209.48"/>
    <s v="123 Main St"/>
    <s v="Debit Card"/>
    <s v="Pending"/>
    <s v="TRK57771859"/>
    <n v="4"/>
    <s v="NA"/>
    <x v="2"/>
    <n v="628.43999999999994"/>
  </r>
  <r>
    <x v="1084"/>
    <x v="5"/>
    <n v="5"/>
    <n v="209.2"/>
    <s v="930 Main St"/>
    <s v="Debit Card"/>
    <s v="Delivered"/>
    <s v="TRK47744396"/>
    <n v="6"/>
    <s v="WINTER15"/>
    <x v="2"/>
    <n v="1046"/>
  </r>
  <r>
    <x v="1085"/>
    <x v="1"/>
    <n v="4"/>
    <n v="197.36"/>
    <s v="557 Main St"/>
    <s v="Gift Card"/>
    <s v="Returned"/>
    <s v="TRK22612240"/>
    <n v="9"/>
    <s v="FREESHIP"/>
    <x v="0"/>
    <n v="789.44"/>
  </r>
  <r>
    <x v="1086"/>
    <x v="4"/>
    <n v="4"/>
    <n v="648.91"/>
    <s v="615 Main St"/>
    <s v="Credit Card"/>
    <s v="Shipped"/>
    <s v="TRK54950785"/>
    <n v="6"/>
    <s v="SAVE10"/>
    <x v="0"/>
    <n v="2595.64"/>
  </r>
  <r>
    <x v="1087"/>
    <x v="1"/>
    <n v="2"/>
    <n v="441.54"/>
    <s v="397 Main St"/>
    <s v="Online"/>
    <s v="Delivered"/>
    <s v="TRK92929755"/>
    <n v="2"/>
    <s v="SAVE10"/>
    <x v="2"/>
    <n v="883.08"/>
  </r>
  <r>
    <x v="1088"/>
    <x v="2"/>
    <n v="2"/>
    <n v="464.92"/>
    <s v="782 Main St"/>
    <s v="Debit Card"/>
    <s v="Returned"/>
    <s v="TRK49482923"/>
    <n v="2"/>
    <s v="NA"/>
    <x v="3"/>
    <n v="929.84"/>
  </r>
  <r>
    <x v="1089"/>
    <x v="0"/>
    <n v="5"/>
    <n v="506.45"/>
    <s v="344 Main St"/>
    <s v="Gift Card"/>
    <s v="Shipped"/>
    <s v="TRK99682998"/>
    <n v="7"/>
    <s v="WINTER15"/>
    <x v="4"/>
    <n v="2532.25"/>
  </r>
  <r>
    <x v="1090"/>
    <x v="0"/>
    <n v="4"/>
    <n v="255.86"/>
    <s v="155 Main St"/>
    <s v="Credit Card"/>
    <s v="Delivered"/>
    <s v="TRK91653000"/>
    <n v="7"/>
    <s v="NA"/>
    <x v="2"/>
    <n v="1023.44"/>
  </r>
  <r>
    <x v="1091"/>
    <x v="5"/>
    <n v="2"/>
    <n v="125.23"/>
    <s v="272 Main St"/>
    <s v="Cash"/>
    <s v="Cancelled"/>
    <s v="TRK60774796"/>
    <n v="3"/>
    <s v="FREESHIP"/>
    <x v="2"/>
    <n v="250.46"/>
  </r>
  <r>
    <x v="1092"/>
    <x v="5"/>
    <n v="5"/>
    <n v="38.11"/>
    <s v="428 Main St"/>
    <s v="Debit Card"/>
    <s v="Cancelled"/>
    <s v="TRK79790530"/>
    <n v="6"/>
    <s v="WINTER15"/>
    <x v="0"/>
    <n v="190.55"/>
  </r>
  <r>
    <x v="1093"/>
    <x v="0"/>
    <n v="3"/>
    <n v="161.97"/>
    <s v="904 Main St"/>
    <s v="Cash"/>
    <s v="Pending"/>
    <s v="TRK85871121"/>
    <n v="4"/>
    <s v="SAVE10"/>
    <x v="2"/>
    <n v="485.91"/>
  </r>
  <r>
    <x v="14"/>
    <x v="3"/>
    <n v="4"/>
    <n v="347.17"/>
    <s v="997 Main St"/>
    <s v="Debit Card"/>
    <s v="Shipped"/>
    <s v="TRK86192984"/>
    <n v="8"/>
    <s v="NA"/>
    <x v="0"/>
    <n v="1388.68"/>
  </r>
  <r>
    <x v="1094"/>
    <x v="5"/>
    <n v="4"/>
    <n v="276.32"/>
    <s v="129 Main St"/>
    <s v="Online"/>
    <s v="Delivered"/>
    <s v="TRK26270357"/>
    <n v="5"/>
    <s v="NA"/>
    <x v="4"/>
    <n v="1105.28"/>
  </r>
  <r>
    <x v="1095"/>
    <x v="2"/>
    <n v="4"/>
    <n v="314.76"/>
    <s v="850 Main St"/>
    <s v="Online"/>
    <s v="Shipped"/>
    <s v="TRK63547510"/>
    <n v="8"/>
    <s v="NA"/>
    <x v="0"/>
    <n v="1259.04"/>
  </r>
  <r>
    <x v="1096"/>
    <x v="2"/>
    <n v="3"/>
    <n v="475.69"/>
    <s v="884 Main St"/>
    <s v="Gift Card"/>
    <s v="Cancelled"/>
    <s v="TRK23324770"/>
    <n v="3"/>
    <s v="FREESHIP"/>
    <x v="4"/>
    <n v="1427.07"/>
  </r>
  <r>
    <x v="1097"/>
    <x v="3"/>
    <n v="1"/>
    <n v="372.8"/>
    <s v="903 Main St"/>
    <s v="Cash"/>
    <s v="Cancelled"/>
    <s v="TRK72859458"/>
    <n v="6"/>
    <s v="SAVE10"/>
    <x v="3"/>
    <n v="372.8"/>
  </r>
  <r>
    <x v="1098"/>
    <x v="2"/>
    <n v="2"/>
    <n v="63.21"/>
    <s v="282 Main St"/>
    <s v="Online"/>
    <s v="Cancelled"/>
    <s v="TRK80963328"/>
    <n v="4"/>
    <s v="SAVE10"/>
    <x v="4"/>
    <n v="126.42"/>
  </r>
  <r>
    <x v="1099"/>
    <x v="5"/>
    <n v="1"/>
    <n v="634.94000000000005"/>
    <s v="462 Main St"/>
    <s v="Online"/>
    <s v="Cancelled"/>
    <s v="TRK49753703"/>
    <n v="5"/>
    <s v="WINTER15"/>
    <x v="0"/>
    <n v="634.94000000000005"/>
  </r>
  <r>
    <x v="1100"/>
    <x v="4"/>
    <n v="4"/>
    <n v="77.47"/>
    <s v="474 Main St"/>
    <s v="Gift Card"/>
    <s v="Returned"/>
    <s v="TRK32026174"/>
    <n v="7"/>
    <s v="SAVE10"/>
    <x v="0"/>
    <n v="309.88"/>
  </r>
  <r>
    <x v="1101"/>
    <x v="3"/>
    <n v="3"/>
    <n v="84.31"/>
    <s v="912 Main St"/>
    <s v="Credit Card"/>
    <s v="Shipped"/>
    <s v="TRK36103184"/>
    <n v="3"/>
    <s v="SAVE10"/>
    <x v="2"/>
    <n v="252.93"/>
  </r>
  <r>
    <x v="1102"/>
    <x v="0"/>
    <n v="4"/>
    <n v="234.45"/>
    <s v="362 Main St"/>
    <s v="Online"/>
    <s v="Cancelled"/>
    <s v="TRK91338580"/>
    <n v="9"/>
    <s v="FREESHIP"/>
    <x v="0"/>
    <n v="937.8"/>
  </r>
  <r>
    <x v="1103"/>
    <x v="6"/>
    <n v="1"/>
    <n v="356.81"/>
    <s v="563 Main St"/>
    <s v="Online"/>
    <s v="Delivered"/>
    <s v="TRK80694400"/>
    <n v="1"/>
    <s v="WINTER15"/>
    <x v="0"/>
    <n v="356.81"/>
  </r>
  <r>
    <x v="1104"/>
    <x v="6"/>
    <n v="4"/>
    <n v="209.99"/>
    <s v="168 Main St"/>
    <s v="Cash"/>
    <s v="Delivered"/>
    <s v="TRK80819053"/>
    <n v="8"/>
    <s v="NA"/>
    <x v="4"/>
    <n v="839.96"/>
  </r>
  <r>
    <x v="1105"/>
    <x v="2"/>
    <n v="3"/>
    <n v="659.88"/>
    <s v="609 Main St"/>
    <s v="Gift Card"/>
    <s v="Cancelled"/>
    <s v="TRK79610967"/>
    <n v="3"/>
    <s v="NA"/>
    <x v="4"/>
    <n v="1979.64"/>
  </r>
  <r>
    <x v="1106"/>
    <x v="5"/>
    <n v="2"/>
    <n v="336.32"/>
    <s v="562 Main St"/>
    <s v="Online"/>
    <s v="Returned"/>
    <s v="TRK89687816"/>
    <n v="3"/>
    <s v="NA"/>
    <x v="4"/>
    <n v="672.64"/>
  </r>
  <r>
    <x v="1107"/>
    <x v="4"/>
    <n v="2"/>
    <n v="531.49"/>
    <s v="562 Main St"/>
    <s v="Credit Card"/>
    <s v="Delivered"/>
    <s v="TRK61265132"/>
    <n v="7"/>
    <s v="WINTER15"/>
    <x v="3"/>
    <n v="1062.98"/>
  </r>
  <r>
    <x v="1108"/>
    <x v="3"/>
    <n v="3"/>
    <n v="588.44000000000005"/>
    <s v="858 Main St"/>
    <s v="Gift Card"/>
    <s v="Shipped"/>
    <s v="TRK95779073"/>
    <n v="8"/>
    <s v="WINTER15"/>
    <x v="4"/>
    <n v="1765.32"/>
  </r>
  <r>
    <x v="1109"/>
    <x v="1"/>
    <n v="3"/>
    <n v="251.48"/>
    <s v="359 Main St"/>
    <s v="Credit Card"/>
    <s v="Returned"/>
    <s v="TRK99102265"/>
    <n v="4"/>
    <s v="NA"/>
    <x v="2"/>
    <n v="754.43999999999994"/>
  </r>
  <r>
    <x v="1110"/>
    <x v="5"/>
    <n v="1"/>
    <n v="684.65"/>
    <s v="250 Main St"/>
    <s v="Credit Card"/>
    <s v="Delivered"/>
    <s v="TRK24675988"/>
    <n v="1"/>
    <s v="FREESHIP"/>
    <x v="2"/>
    <n v="684.65"/>
  </r>
  <r>
    <x v="1111"/>
    <x v="2"/>
    <n v="1"/>
    <n v="195.86"/>
    <s v="267 Main St"/>
    <s v="Online"/>
    <s v="Pending"/>
    <s v="TRK82416295"/>
    <n v="3"/>
    <s v="NA"/>
    <x v="3"/>
    <n v="195.86"/>
  </r>
  <r>
    <x v="1112"/>
    <x v="1"/>
    <n v="3"/>
    <n v="50.34"/>
    <s v="393 Main St"/>
    <s v="Gift Card"/>
    <s v="Returned"/>
    <s v="TRK43070888"/>
    <n v="3"/>
    <s v="FREESHIP"/>
    <x v="0"/>
    <n v="151.02000000000001"/>
  </r>
  <r>
    <x v="266"/>
    <x v="0"/>
    <n v="5"/>
    <n v="678.19"/>
    <s v="766 Main St"/>
    <s v="Online"/>
    <s v="Returned"/>
    <s v="TRK32496970"/>
    <n v="8"/>
    <s v="NA"/>
    <x v="3"/>
    <n v="3390.95"/>
  </r>
  <r>
    <x v="1113"/>
    <x v="2"/>
    <n v="3"/>
    <n v="554.25"/>
    <s v="843 Main St"/>
    <s v="Debit Card"/>
    <s v="Shipped"/>
    <s v="TRK73163634"/>
    <n v="6"/>
    <s v="WINTER15"/>
    <x v="1"/>
    <n v="1662.75"/>
  </r>
  <r>
    <x v="1114"/>
    <x v="3"/>
    <n v="4"/>
    <n v="576.87"/>
    <s v="888 Main St"/>
    <s v="Gift Card"/>
    <s v="Returned"/>
    <s v="TRK40245983"/>
    <n v="5"/>
    <s v="NA"/>
    <x v="0"/>
    <n v="2307.48"/>
  </r>
  <r>
    <x v="1115"/>
    <x v="6"/>
    <n v="4"/>
    <n v="408.36"/>
    <s v="156 Main St"/>
    <s v="Gift Card"/>
    <s v="Cancelled"/>
    <s v="TRK67210247"/>
    <n v="4"/>
    <s v="FREESHIP"/>
    <x v="1"/>
    <n v="1633.44"/>
  </r>
  <r>
    <x v="1116"/>
    <x v="1"/>
    <n v="5"/>
    <n v="190.11"/>
    <s v="325 Main St"/>
    <s v="Cash"/>
    <s v="Delivered"/>
    <s v="TRK36195559"/>
    <n v="7"/>
    <s v="SAVE10"/>
    <x v="4"/>
    <n v="950.55000000000007"/>
  </r>
  <r>
    <x v="1117"/>
    <x v="4"/>
    <n v="3"/>
    <n v="602.75"/>
    <s v="920 Main St"/>
    <s v="Credit Card"/>
    <s v="Shipped"/>
    <s v="TRK33155049"/>
    <n v="6"/>
    <s v="SAVE10"/>
    <x v="2"/>
    <n v="1808.25"/>
  </r>
  <r>
    <x v="1118"/>
    <x v="0"/>
    <n v="3"/>
    <n v="646.79"/>
    <s v="447 Main St"/>
    <s v="Cash"/>
    <s v="Cancelled"/>
    <s v="TRK10883354"/>
    <n v="5"/>
    <s v="WINTER15"/>
    <x v="4"/>
    <n v="1940.37"/>
  </r>
  <r>
    <x v="1119"/>
    <x v="3"/>
    <n v="4"/>
    <n v="418.71"/>
    <s v="239 Main St"/>
    <s v="Cash"/>
    <s v="Pending"/>
    <s v="TRK37495481"/>
    <n v="8"/>
    <s v="FREESHIP"/>
    <x v="0"/>
    <n v="1674.84"/>
  </r>
  <r>
    <x v="1120"/>
    <x v="5"/>
    <n v="2"/>
    <n v="323.45"/>
    <s v="533 Main St"/>
    <s v="Credit Card"/>
    <s v="Returned"/>
    <s v="TRK27233265"/>
    <n v="5"/>
    <s v="FREESHIP"/>
    <x v="0"/>
    <n v="646.9"/>
  </r>
  <r>
    <x v="1121"/>
    <x v="1"/>
    <n v="1"/>
    <n v="694.5"/>
    <s v="195 Main St"/>
    <s v="Credit Card"/>
    <s v="Pending"/>
    <s v="TRK41691086"/>
    <n v="3"/>
    <s v="WINTER15"/>
    <x v="3"/>
    <n v="694.5"/>
  </r>
  <r>
    <x v="1122"/>
    <x v="3"/>
    <n v="2"/>
    <n v="337.32"/>
    <s v="948 Main St"/>
    <s v="Credit Card"/>
    <s v="Cancelled"/>
    <s v="TRK30406357"/>
    <n v="4"/>
    <s v="SAVE10"/>
    <x v="2"/>
    <n v="674.64"/>
  </r>
  <r>
    <x v="1123"/>
    <x v="4"/>
    <n v="2"/>
    <n v="467.91"/>
    <s v="432 Main St"/>
    <s v="Gift Card"/>
    <s v="Returned"/>
    <s v="TRK76731303"/>
    <n v="5"/>
    <s v="WINTER15"/>
    <x v="3"/>
    <n v="935.82"/>
  </r>
  <r>
    <x v="1124"/>
    <x v="6"/>
    <n v="4"/>
    <n v="38.28"/>
    <s v="950 Main St"/>
    <s v="Debit Card"/>
    <s v="Cancelled"/>
    <s v="TRK53964711"/>
    <n v="4"/>
    <s v="WINTER15"/>
    <x v="3"/>
    <n v="153.12"/>
  </r>
  <r>
    <x v="1125"/>
    <x v="4"/>
    <n v="2"/>
    <n v="73.41"/>
    <s v="562 Main St"/>
    <s v="Online"/>
    <s v="Shipped"/>
    <s v="TRK97793275"/>
    <n v="2"/>
    <s v="SAVE10"/>
    <x v="4"/>
    <n v="146.82"/>
  </r>
  <r>
    <x v="1126"/>
    <x v="2"/>
    <n v="3"/>
    <n v="668.33"/>
    <s v="799 Main St"/>
    <s v="Gift Card"/>
    <s v="Pending"/>
    <s v="TRK34856025"/>
    <n v="4"/>
    <s v="WINTER15"/>
    <x v="3"/>
    <n v="2004.99"/>
  </r>
  <r>
    <x v="1127"/>
    <x v="4"/>
    <n v="4"/>
    <n v="410.21"/>
    <s v="841 Main St"/>
    <s v="Cash"/>
    <s v="Pending"/>
    <s v="TRK59911645"/>
    <n v="5"/>
    <s v="WINTER15"/>
    <x v="0"/>
    <n v="1640.84"/>
  </r>
  <r>
    <x v="1128"/>
    <x v="6"/>
    <n v="4"/>
    <n v="294.41000000000003"/>
    <s v="188 Main St"/>
    <s v="Debit Card"/>
    <s v="Pending"/>
    <s v="TRK55565668"/>
    <n v="4"/>
    <s v="NA"/>
    <x v="0"/>
    <n v="1177.6400000000001"/>
  </r>
  <r>
    <x v="1042"/>
    <x v="3"/>
    <n v="3"/>
    <n v="501.82"/>
    <s v="568 Main St"/>
    <s v="Gift Card"/>
    <s v="Cancelled"/>
    <s v="TRK28290825"/>
    <n v="4"/>
    <s v="FREESHIP"/>
    <x v="2"/>
    <n v="1505.46"/>
  </r>
  <r>
    <x v="1129"/>
    <x v="4"/>
    <n v="2"/>
    <n v="552.83000000000004"/>
    <s v="904 Main St"/>
    <s v="Credit Card"/>
    <s v="Cancelled"/>
    <s v="TRK38297718"/>
    <n v="3"/>
    <s v="NA"/>
    <x v="1"/>
    <n v="1105.6600000000001"/>
  </r>
  <r>
    <x v="1130"/>
    <x v="3"/>
    <n v="3"/>
    <n v="498.66"/>
    <s v="382 Main St"/>
    <s v="Cash"/>
    <s v="Cancelled"/>
    <s v="TRK26707221"/>
    <n v="6"/>
    <s v="NA"/>
    <x v="2"/>
    <n v="1495.98"/>
  </r>
  <r>
    <x v="1131"/>
    <x v="1"/>
    <n v="4"/>
    <n v="695.1"/>
    <s v="484 Main St"/>
    <s v="Debit Card"/>
    <s v="Returned"/>
    <s v="TRK83678708"/>
    <n v="8"/>
    <s v="NA"/>
    <x v="2"/>
    <n v="2780.4"/>
  </r>
  <r>
    <x v="1132"/>
    <x v="3"/>
    <n v="1"/>
    <n v="381.61"/>
    <s v="114 Main St"/>
    <s v="Debit Card"/>
    <s v="Pending"/>
    <s v="TRK51040137"/>
    <n v="5"/>
    <s v="NA"/>
    <x v="2"/>
    <n v="381.61"/>
  </r>
  <r>
    <x v="1133"/>
    <x v="6"/>
    <n v="5"/>
    <n v="507.94"/>
    <s v="292 Main St"/>
    <s v="Online"/>
    <s v="Cancelled"/>
    <s v="TRK88749996"/>
    <n v="9"/>
    <s v="NA"/>
    <x v="3"/>
    <n v="2539.6999999999998"/>
  </r>
  <r>
    <x v="1134"/>
    <x v="6"/>
    <n v="3"/>
    <n v="571.53"/>
    <s v="821 Main St"/>
    <s v="Debit Card"/>
    <s v="Delivered"/>
    <s v="TRK59642814"/>
    <n v="6"/>
    <s v="FREESHIP"/>
    <x v="3"/>
    <n v="1714.59"/>
  </r>
  <r>
    <x v="1135"/>
    <x v="0"/>
    <n v="5"/>
    <n v="421.44"/>
    <s v="286 Main St"/>
    <s v="Cash"/>
    <s v="Pending"/>
    <s v="TRK93336357"/>
    <n v="5"/>
    <s v="SAVE10"/>
    <x v="0"/>
    <n v="2107.1999999999998"/>
  </r>
  <r>
    <x v="1136"/>
    <x v="3"/>
    <n v="2"/>
    <n v="588.29999999999995"/>
    <s v="234 Main St"/>
    <s v="Online"/>
    <s v="Pending"/>
    <s v="TRK22515454"/>
    <n v="2"/>
    <s v="FREESHIP"/>
    <x v="2"/>
    <n v="1176.5999999999999"/>
  </r>
  <r>
    <x v="1137"/>
    <x v="1"/>
    <n v="1"/>
    <n v="355.15"/>
    <s v="442 Main St"/>
    <s v="Cash"/>
    <s v="Returned"/>
    <s v="TRK66241930"/>
    <n v="2"/>
    <s v="SAVE10"/>
    <x v="2"/>
    <n v="355.15"/>
  </r>
  <r>
    <x v="1138"/>
    <x v="3"/>
    <n v="2"/>
    <n v="695.29"/>
    <s v="957 Main St"/>
    <s v="Credit Card"/>
    <s v="Pending"/>
    <s v="TRK28789916"/>
    <n v="6"/>
    <s v="FREESHIP"/>
    <x v="0"/>
    <n v="1390.58"/>
  </r>
  <r>
    <x v="1139"/>
    <x v="6"/>
    <n v="4"/>
    <n v="302.64999999999998"/>
    <s v="119 Main St"/>
    <s v="Credit Card"/>
    <s v="Cancelled"/>
    <s v="TRK79291524"/>
    <n v="8"/>
    <s v="SAVE10"/>
    <x v="1"/>
    <n v="1210.5999999999999"/>
  </r>
  <r>
    <x v="1140"/>
    <x v="3"/>
    <n v="2"/>
    <n v="608.04"/>
    <s v="962 Main St"/>
    <s v="Cash"/>
    <s v="Cancelled"/>
    <s v="TRK69804304"/>
    <n v="4"/>
    <s v="NA"/>
    <x v="4"/>
    <n v="1216.08"/>
  </r>
  <r>
    <x v="1141"/>
    <x v="2"/>
    <n v="2"/>
    <n v="344.18"/>
    <s v="533 Main St"/>
    <s v="Credit Card"/>
    <s v="Shipped"/>
    <s v="TRK42183078"/>
    <n v="7"/>
    <s v="NA"/>
    <x v="1"/>
    <n v="688.36"/>
  </r>
  <r>
    <x v="1142"/>
    <x v="0"/>
    <n v="4"/>
    <n v="696.71"/>
    <s v="276 Main St"/>
    <s v="Debit Card"/>
    <s v="Shipped"/>
    <s v="TRK37172138"/>
    <n v="4"/>
    <s v="NA"/>
    <x v="0"/>
    <n v="2786.84"/>
  </r>
  <r>
    <x v="1143"/>
    <x v="0"/>
    <n v="3"/>
    <n v="198.63"/>
    <s v="593 Main St"/>
    <s v="Cash"/>
    <s v="Pending"/>
    <s v="TRK67589167"/>
    <n v="8"/>
    <s v="SAVE10"/>
    <x v="0"/>
    <n v="595.89"/>
  </r>
  <r>
    <x v="1144"/>
    <x v="4"/>
    <n v="4"/>
    <n v="534.57000000000005"/>
    <s v="667 Main St"/>
    <s v="Credit Card"/>
    <s v="Delivered"/>
    <s v="TRK62068126"/>
    <n v="6"/>
    <s v="FREESHIP"/>
    <x v="3"/>
    <n v="2138.2800000000002"/>
  </r>
  <r>
    <x v="1145"/>
    <x v="5"/>
    <n v="4"/>
    <n v="690.78"/>
    <s v="980 Main St"/>
    <s v="Credit Card"/>
    <s v="Shipped"/>
    <s v="TRK98234737"/>
    <n v="9"/>
    <s v="NA"/>
    <x v="1"/>
    <n v="2763.12"/>
  </r>
  <r>
    <x v="1146"/>
    <x v="0"/>
    <n v="3"/>
    <n v="301.55"/>
    <s v="242 Main St"/>
    <s v="Debit Card"/>
    <s v="Delivered"/>
    <s v="TRK21451375"/>
    <n v="5"/>
    <s v="FREESHIP"/>
    <x v="4"/>
    <n v="904.65000000000009"/>
  </r>
  <r>
    <x v="1147"/>
    <x v="0"/>
    <n v="4"/>
    <n v="27.42"/>
    <s v="661 Main St"/>
    <s v="Debit Card"/>
    <s v="Pending"/>
    <s v="TRK20605418"/>
    <n v="4"/>
    <s v="SAVE10"/>
    <x v="1"/>
    <n v="109.68"/>
  </r>
  <r>
    <x v="1148"/>
    <x v="6"/>
    <n v="4"/>
    <n v="466.7"/>
    <s v="874 Main St"/>
    <s v="Debit Card"/>
    <s v="Returned"/>
    <s v="TRK60955607"/>
    <n v="8"/>
    <s v="NA"/>
    <x v="0"/>
    <n v="1866.8"/>
  </r>
  <r>
    <x v="1149"/>
    <x v="6"/>
    <n v="1"/>
    <n v="541.64"/>
    <s v="449 Main St"/>
    <s v="Debit Card"/>
    <s v="Shipped"/>
    <s v="TRK70255168"/>
    <n v="5"/>
    <s v="SAVE10"/>
    <x v="2"/>
    <n v="541.64"/>
  </r>
  <r>
    <x v="1150"/>
    <x v="1"/>
    <n v="1"/>
    <n v="11.39"/>
    <s v="826 Main St"/>
    <s v="Cash"/>
    <s v="Cancelled"/>
    <s v="TRK35969968"/>
    <n v="6"/>
    <s v="WINTER15"/>
    <x v="2"/>
    <n v="11.39"/>
  </r>
  <r>
    <x v="1151"/>
    <x v="1"/>
    <n v="2"/>
    <n v="224.37"/>
    <s v="251 Main St"/>
    <s v="Debit Card"/>
    <s v="Delivered"/>
    <s v="TRK33125798"/>
    <n v="3"/>
    <s v="WINTER15"/>
    <x v="1"/>
    <n v="448.74"/>
  </r>
  <r>
    <x v="1152"/>
    <x v="5"/>
    <n v="3"/>
    <n v="306.29000000000002"/>
    <s v="966 Main St"/>
    <s v="Credit Card"/>
    <s v="Returned"/>
    <s v="TRK19477485"/>
    <n v="7"/>
    <s v="WINTER15"/>
    <x v="0"/>
    <n v="918.87000000000012"/>
  </r>
  <r>
    <x v="1153"/>
    <x v="2"/>
    <n v="5"/>
    <n v="315.57"/>
    <s v="340 Main St"/>
    <s v="Debit Card"/>
    <s v="Delivered"/>
    <s v="TRK64530489"/>
    <n v="6"/>
    <s v="WINTER15"/>
    <x v="2"/>
    <n v="1577.85"/>
  </r>
  <r>
    <x v="1154"/>
    <x v="3"/>
    <n v="3"/>
    <n v="223.79"/>
    <s v="617 Main St"/>
    <s v="Debit Card"/>
    <s v="Pending"/>
    <s v="TRK63460217"/>
    <n v="3"/>
    <s v="NA"/>
    <x v="4"/>
    <n v="671.37"/>
  </r>
  <r>
    <x v="1155"/>
    <x v="3"/>
    <n v="3"/>
    <n v="324.47000000000003"/>
    <s v="971 Main St"/>
    <s v="Cash"/>
    <s v="Delivered"/>
    <s v="TRK37075292"/>
    <n v="4"/>
    <s v="WINTER15"/>
    <x v="2"/>
    <n v="973.41000000000008"/>
  </r>
  <r>
    <x v="1156"/>
    <x v="4"/>
    <n v="2"/>
    <n v="92.87"/>
    <s v="360 Main St"/>
    <s v="Credit Card"/>
    <s v="Pending"/>
    <s v="TRK31169396"/>
    <n v="5"/>
    <s v="FREESHIP"/>
    <x v="3"/>
    <n v="185.74"/>
  </r>
  <r>
    <x v="1157"/>
    <x v="5"/>
    <n v="2"/>
    <n v="331.42"/>
    <s v="297 Main St"/>
    <s v="Credit Card"/>
    <s v="Delivered"/>
    <s v="TRK82838108"/>
    <n v="6"/>
    <s v="WINTER15"/>
    <x v="4"/>
    <n v="662.84"/>
  </r>
  <r>
    <x v="1158"/>
    <x v="3"/>
    <n v="1"/>
    <n v="525.42999999999995"/>
    <s v="643 Main St"/>
    <s v="Cash"/>
    <s v="Cancelled"/>
    <s v="TRK26794546"/>
    <n v="2"/>
    <s v="SAVE10"/>
    <x v="0"/>
    <n v="525.42999999999995"/>
  </r>
  <r>
    <x v="1159"/>
    <x v="4"/>
    <n v="2"/>
    <n v="697.19"/>
    <s v="762 Main St"/>
    <s v="Cash"/>
    <s v="Returned"/>
    <s v="TRK40220743"/>
    <n v="7"/>
    <s v="FREESHIP"/>
    <x v="2"/>
    <n v="1394.38"/>
  </r>
  <r>
    <x v="1160"/>
    <x v="1"/>
    <n v="4"/>
    <n v="518.4"/>
    <s v="699 Main St"/>
    <s v="Credit Card"/>
    <s v="Delivered"/>
    <s v="TRK80431998"/>
    <n v="7"/>
    <s v="SAVE10"/>
    <x v="3"/>
    <n v="2073.6"/>
  </r>
  <r>
    <x v="1161"/>
    <x v="6"/>
    <n v="3"/>
    <n v="131.96"/>
    <s v="745 Main St"/>
    <s v="Credit Card"/>
    <s v="Pending"/>
    <s v="TRK32550359"/>
    <n v="8"/>
    <s v="NA"/>
    <x v="0"/>
    <n v="395.88"/>
  </r>
  <r>
    <x v="1162"/>
    <x v="0"/>
    <n v="1"/>
    <n v="208.36"/>
    <s v="703 Main St"/>
    <s v="Online"/>
    <s v="Shipped"/>
    <s v="TRK31079911"/>
    <n v="4"/>
    <s v="FREESHIP"/>
    <x v="2"/>
    <n v="208.36"/>
  </r>
  <r>
    <x v="1163"/>
    <x v="4"/>
    <n v="3"/>
    <n v="222.34"/>
    <s v="105 Main St"/>
    <s v="Credit Card"/>
    <s v="Returned"/>
    <s v="TRK53737452"/>
    <n v="5"/>
    <s v="WINTER15"/>
    <x v="2"/>
    <n v="667.02"/>
  </r>
  <r>
    <x v="1164"/>
    <x v="4"/>
    <n v="3"/>
    <n v="91.74"/>
    <s v="368 Main St"/>
    <s v="Debit Card"/>
    <s v="Returned"/>
    <s v="TRK24139954"/>
    <n v="8"/>
    <s v="FREESHIP"/>
    <x v="1"/>
    <n v="275.22000000000003"/>
  </r>
  <r>
    <x v="1165"/>
    <x v="2"/>
    <n v="2"/>
    <n v="213.83"/>
    <s v="374 Main St"/>
    <s v="Debit Card"/>
    <s v="Cancelled"/>
    <s v="TRK55587314"/>
    <n v="2"/>
    <s v="WINTER15"/>
    <x v="2"/>
    <n v="427.66"/>
  </r>
  <r>
    <x v="1166"/>
    <x v="4"/>
    <n v="1"/>
    <n v="127.55"/>
    <s v="433 Main St"/>
    <s v="Cash"/>
    <s v="Shipped"/>
    <s v="TRK44434536"/>
    <n v="3"/>
    <s v="SAVE10"/>
    <x v="1"/>
    <n v="127.55"/>
  </r>
  <r>
    <x v="1167"/>
    <x v="0"/>
    <n v="1"/>
    <n v="70.239999999999995"/>
    <s v="456 Main St"/>
    <s v="Credit Card"/>
    <s v="Cancelled"/>
    <s v="TRK10261578"/>
    <n v="4"/>
    <s v="FREESHIP"/>
    <x v="4"/>
    <n v="70.239999999999995"/>
  </r>
  <r>
    <x v="1168"/>
    <x v="5"/>
    <n v="5"/>
    <n v="518.54999999999995"/>
    <s v="907 Main St"/>
    <s v="Credit Card"/>
    <s v="Cancelled"/>
    <s v="TRK48054997"/>
    <n v="6"/>
    <s v="WINTER15"/>
    <x v="0"/>
    <n v="2592.75"/>
  </r>
  <r>
    <x v="1169"/>
    <x v="3"/>
    <n v="4"/>
    <n v="298.36"/>
    <s v="722 Main St"/>
    <s v="Debit Card"/>
    <s v="Pending"/>
    <s v="TRK49379882"/>
    <n v="8"/>
    <s v="FREESHIP"/>
    <x v="4"/>
    <n v="1193.44"/>
  </r>
  <r>
    <x v="1170"/>
    <x v="6"/>
    <n v="3"/>
    <n v="158.74"/>
    <s v="293 Main St"/>
    <s v="Online"/>
    <s v="Pending"/>
    <s v="TRK45708320"/>
    <n v="7"/>
    <s v="FREESHIP"/>
    <x v="0"/>
    <n v="476.22"/>
  </r>
  <r>
    <x v="1171"/>
    <x v="3"/>
    <n v="2"/>
    <n v="420.29"/>
    <s v="700 Main St"/>
    <s v="Gift Card"/>
    <s v="Returned"/>
    <s v="TRK97834202"/>
    <n v="3"/>
    <s v="SAVE10"/>
    <x v="4"/>
    <n v="840.58"/>
  </r>
  <r>
    <x v="1172"/>
    <x v="6"/>
    <n v="1"/>
    <n v="281.52"/>
    <s v="460 Main St"/>
    <s v="Gift Card"/>
    <s v="Shipped"/>
    <s v="TRK83653396"/>
    <n v="6"/>
    <s v="WINTER15"/>
    <x v="1"/>
    <n v="281.52"/>
  </r>
  <r>
    <x v="1173"/>
    <x v="5"/>
    <n v="1"/>
    <n v="204.08"/>
    <s v="979 Main St"/>
    <s v="Gift Card"/>
    <s v="Returned"/>
    <s v="TRK86297895"/>
    <n v="4"/>
    <s v="NA"/>
    <x v="4"/>
    <n v="204.08"/>
  </r>
  <r>
    <x v="1174"/>
    <x v="3"/>
    <n v="1"/>
    <n v="343.31"/>
    <s v="777 Main St"/>
    <s v="Gift Card"/>
    <s v="Returned"/>
    <s v="TRK20605055"/>
    <n v="6"/>
    <s v="SAVE10"/>
    <x v="4"/>
    <n v="343.31"/>
  </r>
  <r>
    <x v="1175"/>
    <x v="0"/>
    <n v="1"/>
    <n v="163.32"/>
    <s v="676 Main St"/>
    <s v="Cash"/>
    <s v="Shipped"/>
    <s v="TRK83702761"/>
    <n v="6"/>
    <s v="WINTER15"/>
    <x v="3"/>
    <n v="163.32"/>
  </r>
  <r>
    <x v="1176"/>
    <x v="6"/>
    <n v="2"/>
    <n v="184.6"/>
    <s v="562 Main St"/>
    <s v="Gift Card"/>
    <s v="Delivered"/>
    <s v="TRK59962703"/>
    <n v="7"/>
    <s v="WINTER15"/>
    <x v="2"/>
    <n v="369.2"/>
  </r>
  <r>
    <x v="1177"/>
    <x v="4"/>
    <n v="2"/>
    <n v="371.29"/>
    <s v="924 Main St"/>
    <s v="Gift Card"/>
    <s v="Shipped"/>
    <s v="TRK23086941"/>
    <n v="5"/>
    <s v="WINTER15"/>
    <x v="3"/>
    <n v="742.58"/>
  </r>
  <r>
    <x v="1178"/>
    <x v="2"/>
    <n v="5"/>
    <n v="389.22"/>
    <s v="149 Main St"/>
    <s v="Cash"/>
    <s v="Cancelled"/>
    <s v="TRK60856682"/>
    <n v="7"/>
    <s v="NA"/>
    <x v="1"/>
    <n v="1946.1"/>
  </r>
  <r>
    <x v="1179"/>
    <x v="6"/>
    <n v="3"/>
    <n v="616.39"/>
    <s v="754 Main St"/>
    <s v="Credit Card"/>
    <s v="Shipped"/>
    <s v="TRK82791646"/>
    <n v="6"/>
    <s v="FREESHIP"/>
    <x v="0"/>
    <n v="1849.17"/>
  </r>
  <r>
    <x v="1180"/>
    <x v="6"/>
    <n v="4"/>
    <n v="376.43"/>
    <s v="809 Main St"/>
    <s v="Gift Card"/>
    <s v="Pending"/>
    <s v="TRK67872709"/>
    <n v="5"/>
    <s v="WINTER15"/>
    <x v="0"/>
    <n v="1505.72"/>
  </r>
  <r>
    <x v="1181"/>
    <x v="3"/>
    <n v="3"/>
    <n v="432.85"/>
    <s v="999 Main St"/>
    <s v="Online"/>
    <s v="Pending"/>
    <s v="TRK16240916"/>
    <n v="4"/>
    <s v="NA"/>
    <x v="0"/>
    <n v="1298.55"/>
  </r>
  <r>
    <x v="1182"/>
    <x v="2"/>
    <n v="1"/>
    <n v="687.89"/>
    <s v="348 Main St"/>
    <s v="Cash"/>
    <s v="Returned"/>
    <s v="TRK38559816"/>
    <n v="1"/>
    <s v="FREESHIP"/>
    <x v="2"/>
    <n v="687.89"/>
  </r>
  <r>
    <x v="1183"/>
    <x v="4"/>
    <n v="3"/>
    <n v="189.44"/>
    <s v="725 Main St"/>
    <s v="Cash"/>
    <s v="Pending"/>
    <s v="TRK62067865"/>
    <n v="4"/>
    <s v="FREESHIP"/>
    <x v="2"/>
    <n v="568.31999999999994"/>
  </r>
  <r>
    <x v="1184"/>
    <x v="6"/>
    <n v="1"/>
    <n v="107.04"/>
    <s v="392 Main St"/>
    <s v="Credit Card"/>
    <s v="Cancelled"/>
    <s v="TRK38009181"/>
    <n v="6"/>
    <s v="FREESHIP"/>
    <x v="4"/>
    <n v="107.04"/>
  </r>
  <r>
    <x v="1185"/>
    <x v="0"/>
    <n v="2"/>
    <n v="662.53"/>
    <s v="778 Main St"/>
    <s v="Online"/>
    <s v="Cancelled"/>
    <s v="TRK69207593"/>
    <n v="5"/>
    <s v="NA"/>
    <x v="3"/>
    <n v="1325.06"/>
  </r>
  <r>
    <x v="1186"/>
    <x v="2"/>
    <n v="2"/>
    <n v="436.84"/>
    <s v="275 Main St"/>
    <s v="Online"/>
    <s v="Delivered"/>
    <s v="TRK88039356"/>
    <n v="2"/>
    <s v="FREESHIP"/>
    <x v="0"/>
    <n v="873.68"/>
  </r>
  <r>
    <x v="1187"/>
    <x v="3"/>
    <n v="4"/>
    <n v="262.52"/>
    <s v="509 Main St"/>
    <s v="Debit Card"/>
    <s v="Cancelled"/>
    <s v="TRK71683331"/>
    <n v="4"/>
    <s v="WINTER15"/>
    <x v="0"/>
    <n v="1050.08"/>
  </r>
  <r>
    <x v="1188"/>
    <x v="2"/>
    <n v="4"/>
    <n v="560.58000000000004"/>
    <s v="201 Main St"/>
    <s v="Gift Card"/>
    <s v="Returned"/>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B5A2AB-26D6-4117-AAD1-ACD1392FDFB2}" name="PivotTable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showAll="0"/>
    <pivotField showAll="0"/>
    <pivotField showAll="0"/>
    <pivotField showAll="0">
      <items count="6">
        <item x="1"/>
        <item x="3"/>
        <item x="4"/>
        <item x="2"/>
        <item x="0"/>
        <item t="default"/>
      </items>
    </pivotField>
    <pivotField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ItemsInCart" fld="10" baseField="0" baseItem="0"/>
  </dataFields>
  <chartFormats count="9">
    <chartFormat chart="3" format="0"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3" count="1" selected="0">
            <x v="0"/>
          </reference>
        </references>
      </pivotArea>
    </chartFormat>
    <chartFormat chart="13" format="11">
      <pivotArea type="data" outline="0" fieldPosition="0">
        <references count="2">
          <reference field="4294967294" count="1" selected="0">
            <x v="0"/>
          </reference>
          <reference field="3" count="1" selected="0">
            <x v="1"/>
          </reference>
        </references>
      </pivotArea>
    </chartFormat>
    <chartFormat chart="13" format="12">
      <pivotArea type="data" outline="0" fieldPosition="0">
        <references count="2">
          <reference field="4294967294" count="1" selected="0">
            <x v="0"/>
          </reference>
          <reference field="3" count="1" selected="0">
            <x v="2"/>
          </reference>
        </references>
      </pivotArea>
    </chartFormat>
    <chartFormat chart="13" format="13">
      <pivotArea type="data" outline="0" fieldPosition="0">
        <references count="2">
          <reference field="4294967294" count="1" selected="0">
            <x v="0"/>
          </reference>
          <reference field="3" count="1" selected="0">
            <x v="3"/>
          </reference>
        </references>
      </pivotArea>
    </chartFormat>
    <chartFormat chart="13" format="14">
      <pivotArea type="data" outline="0" fieldPosition="0">
        <references count="2">
          <reference field="4294967294" count="1" selected="0">
            <x v="0"/>
          </reference>
          <reference field="3" count="1" selected="0">
            <x v="4"/>
          </reference>
        </references>
      </pivotArea>
    </chartFormat>
    <chartFormat chart="13" format="15">
      <pivotArea type="data" outline="0" fieldPosition="0">
        <references count="2">
          <reference field="4294967294" count="1" selected="0">
            <x v="0"/>
          </reference>
          <reference field="3" count="1" selected="0">
            <x v="5"/>
          </reference>
        </references>
      </pivotArea>
    </chartFormat>
    <chartFormat chart="13"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B8419F-E150-426B-BA2A-7332EEF73E80}" name="PivotTable16"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G12" firstHeaderRow="1" firstDataRow="2"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dataField="1" showAll="0">
      <items count="6">
        <item x="2"/>
        <item x="1"/>
        <item x="4"/>
        <item x="3"/>
        <item x="0"/>
        <item t="default"/>
      </items>
    </pivotField>
    <pivotField showAll="0"/>
    <pivotField showAll="0"/>
    <pivotField showAll="0"/>
    <pivotField axis="axisCol" showAll="0">
      <items count="6">
        <item x="1"/>
        <item x="3"/>
        <item x="4"/>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Fields count="1">
    <field x="8"/>
  </colFields>
  <colItems count="6">
    <i>
      <x/>
    </i>
    <i>
      <x v="1"/>
    </i>
    <i>
      <x v="2"/>
    </i>
    <i>
      <x v="3"/>
    </i>
    <i>
      <x v="4"/>
    </i>
    <i t="grand">
      <x/>
    </i>
  </colItems>
  <dataFields count="1">
    <dataField name="Sum of Quantity" fld="4" baseField="0" baseItem="0"/>
  </dataFields>
  <chartFormats count="15">
    <chartFormat chart="0" format="16" series="1">
      <pivotArea type="data" outline="0" fieldPosition="0">
        <references count="1">
          <reference field="8" count="1" selected="0">
            <x v="0"/>
          </reference>
        </references>
      </pivotArea>
    </chartFormat>
    <chartFormat chart="0" format="17" series="1">
      <pivotArea type="data" outline="0" fieldPosition="0">
        <references count="1">
          <reference field="8" count="1" selected="0">
            <x v="1"/>
          </reference>
        </references>
      </pivotArea>
    </chartFormat>
    <chartFormat chart="0" format="18" series="1">
      <pivotArea type="data" outline="0" fieldPosition="0">
        <references count="1">
          <reference field="8" count="1" selected="0">
            <x v="2"/>
          </reference>
        </references>
      </pivotArea>
    </chartFormat>
    <chartFormat chart="0" format="19" series="1">
      <pivotArea type="data" outline="0" fieldPosition="0">
        <references count="1">
          <reference field="8" count="1" selected="0">
            <x v="3"/>
          </reference>
        </references>
      </pivotArea>
    </chartFormat>
    <chartFormat chart="0" format="20" series="1">
      <pivotArea type="data" outline="0" fieldPosition="0">
        <references count="1">
          <reference field="8" count="1" selected="0">
            <x v="4"/>
          </reference>
        </references>
      </pivotArea>
    </chartFormat>
    <chartFormat chart="0" format="21" series="1">
      <pivotArea type="data" outline="0" fieldPosition="0">
        <references count="2">
          <reference field="4294967294" count="1" selected="0">
            <x v="0"/>
          </reference>
          <reference field="8" count="1" selected="0">
            <x v="2"/>
          </reference>
        </references>
      </pivotArea>
    </chartFormat>
    <chartFormat chart="0" format="23" series="1">
      <pivotArea type="data" outline="0" fieldPosition="0">
        <references count="2">
          <reference field="4294967294" count="1" selected="0">
            <x v="0"/>
          </reference>
          <reference field="8" count="1" selected="0">
            <x v="3"/>
          </reference>
        </references>
      </pivotArea>
    </chartFormat>
    <chartFormat chart="0" format="25" series="1">
      <pivotArea type="data" outline="0" fieldPosition="0">
        <references count="2">
          <reference field="4294967294" count="1" selected="0">
            <x v="0"/>
          </reference>
          <reference field="8" count="1" selected="0">
            <x v="4"/>
          </reference>
        </references>
      </pivotArea>
    </chartFormat>
    <chartFormat chart="0" format="26" series="1">
      <pivotArea type="data" outline="0" fieldPosition="0">
        <references count="2">
          <reference field="4294967294" count="1" selected="0">
            <x v="0"/>
          </reference>
          <reference field="8" count="1" selected="0">
            <x v="1"/>
          </reference>
        </references>
      </pivotArea>
    </chartFormat>
    <chartFormat chart="0" format="27" series="1">
      <pivotArea type="data" outline="0" fieldPosition="0">
        <references count="2">
          <reference field="4294967294" count="1" selected="0">
            <x v="0"/>
          </reference>
          <reference field="8" count="1" selected="0">
            <x v="0"/>
          </reference>
        </references>
      </pivotArea>
    </chartFormat>
    <chartFormat chart="12" format="33" series="1">
      <pivotArea type="data" outline="0" fieldPosition="0">
        <references count="2">
          <reference field="4294967294" count="1" selected="0">
            <x v="0"/>
          </reference>
          <reference field="8" count="1" selected="0">
            <x v="0"/>
          </reference>
        </references>
      </pivotArea>
    </chartFormat>
    <chartFormat chart="12" format="34" series="1">
      <pivotArea type="data" outline="0" fieldPosition="0">
        <references count="2">
          <reference field="4294967294" count="1" selected="0">
            <x v="0"/>
          </reference>
          <reference field="8" count="1" selected="0">
            <x v="1"/>
          </reference>
        </references>
      </pivotArea>
    </chartFormat>
    <chartFormat chart="12" format="35" series="1">
      <pivotArea type="data" outline="0" fieldPosition="0">
        <references count="2">
          <reference field="4294967294" count="1" selected="0">
            <x v="0"/>
          </reference>
          <reference field="8" count="1" selected="0">
            <x v="2"/>
          </reference>
        </references>
      </pivotArea>
    </chartFormat>
    <chartFormat chart="12" format="36" series="1">
      <pivotArea type="data" outline="0" fieldPosition="0">
        <references count="2">
          <reference field="4294967294" count="1" selected="0">
            <x v="0"/>
          </reference>
          <reference field="8" count="1" selected="0">
            <x v="3"/>
          </reference>
        </references>
      </pivotArea>
    </chartFormat>
    <chartFormat chart="12" format="37"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76CE92-E4FA-401B-A027-5362A571BFDE}" name="PivotTable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axis="axisRow" showAll="0">
      <items count="6">
        <item x="4"/>
        <item x="2"/>
        <item x="0"/>
        <item x="3"/>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Count of OrderID" fld="0" subtotal="count" baseField="0" baseItem="0"/>
  </dataFields>
  <chartFormats count="3">
    <chartFormat chart="2" format="0" series="1">
      <pivotArea type="data" outline="0" fieldPosition="0">
        <references count="1">
          <reference field="4294967294" count="1" selected="0">
            <x v="0"/>
          </reference>
        </references>
      </pivotArea>
    </chartFormat>
    <chartFormat chart="5" format="38"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B6BF27-B9F1-4EB3-B67E-91BB64C10883}" name="PivotTable17"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Count of CustomerID" fld="2"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1F139B-C5E0-48F4-B40E-5089263CB4E3}" name="PivotTable18"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axis="axisRow" showAll="0" measureFilter="1">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0"/>
  </rowFields>
  <rowItems count="11">
    <i>
      <x v="56"/>
    </i>
    <i>
      <x v="97"/>
    </i>
    <i>
      <x v="123"/>
    </i>
    <i>
      <x v="211"/>
    </i>
    <i>
      <x v="403"/>
    </i>
    <i>
      <x v="520"/>
    </i>
    <i>
      <x v="648"/>
    </i>
    <i>
      <x v="669"/>
    </i>
    <i>
      <x v="764"/>
    </i>
    <i>
      <x v="781"/>
    </i>
    <i t="grand">
      <x/>
    </i>
  </rowItems>
  <colItems count="1">
    <i/>
  </colItems>
  <dataFields count="1">
    <dataField name="Sum of TotalPrice" fld="11" baseField="0" baseItem="0"/>
  </dataFields>
  <conditionalFormats count="1">
    <conditionalFormat priority="2">
      <pivotAreas count="1">
        <pivotArea type="data" collapsedLevelsAreSubtotals="1" fieldPosition="0">
          <references count="2">
            <reference field="4294967294" count="1" selected="0">
              <x v="0"/>
            </reference>
            <reference field="0" count="10">
              <x v="56"/>
              <x v="97"/>
              <x v="123"/>
              <x v="211"/>
              <x v="403"/>
              <x v="520"/>
              <x v="648"/>
              <x v="669"/>
              <x v="764"/>
              <x v="781"/>
            </reference>
          </references>
        </pivotArea>
      </pivotAreas>
    </conditionalFormat>
  </conditional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0611A6-899A-4AF8-B471-8039D3502FA4}" name="PivotTable25"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2">
    <pivotField dataField="1"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showAll="0"/>
    <pivotField showAll="0"/>
    <pivotField showAll="0"/>
    <pivotField showAll="0"/>
    <pivotField showAll="0"/>
    <pivotField showAll="0"/>
    <pivotField showAll="0"/>
    <pivotField showAll="0"/>
    <pivotField axis="axisRow" showAll="0">
      <items count="6">
        <item x="2"/>
        <item x="3"/>
        <item x="4"/>
        <item x="0"/>
        <item x="1"/>
        <item t="default"/>
      </items>
    </pivotField>
    <pivotField showAll="0"/>
  </pivotFields>
  <rowFields count="1">
    <field x="10"/>
  </rowFields>
  <rowItems count="6">
    <i>
      <x/>
    </i>
    <i>
      <x v="1"/>
    </i>
    <i>
      <x v="2"/>
    </i>
    <i>
      <x v="3"/>
    </i>
    <i>
      <x v="4"/>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2AE115-7AE5-4744-BE6C-301E94E04960}" name="PivotTable28"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8" firstHeaderRow="1" firstDataRow="2"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pivotField axis="axisCol" showAll="0">
      <items count="6">
        <item x="1"/>
        <item x="3"/>
        <item x="4"/>
        <item x="2"/>
        <item x="0"/>
        <item t="default"/>
      </items>
    </pivotField>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6"/>
    <field x="14"/>
  </rowFields>
  <rowItems count="4">
    <i>
      <x v="1"/>
    </i>
    <i>
      <x v="2"/>
    </i>
    <i>
      <x v="3"/>
    </i>
    <i t="grand">
      <x/>
    </i>
  </rowItems>
  <colFields count="1">
    <field x="8"/>
  </colFields>
  <colItems count="6">
    <i>
      <x/>
    </i>
    <i>
      <x v="1"/>
    </i>
    <i>
      <x v="2"/>
    </i>
    <i>
      <x v="3"/>
    </i>
    <i>
      <x v="4"/>
    </i>
    <i t="grand">
      <x/>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1" xr10:uid="{50A769B9-572D-4A54-A609-FEF6CEC804CE}" sourceName="OrderStatus">
  <pivotTables>
    <pivotTable tabId="6" name="PivotTable16"/>
  </pivotTables>
  <data>
    <tabular pivotCacheId="683024515">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677DC17-7E4F-4824-9CB1-03CEEB72911B}" sourceName="Months (Date)">
  <pivotTables>
    <pivotTable tabId="10" name="PivotTable28"/>
  </pivotTables>
  <data>
    <tabular pivotCacheId="683024515">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2D1FA1B5-248F-43DB-B7A1-62989BD0FFBC}" sourceName="Years (Date)">
  <pivotTables>
    <pivotTable tabId="10" name="PivotTable28"/>
  </pivotTables>
  <data>
    <tabular pivotCacheId="683024515">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1" xr10:uid="{D4710272-A142-4764-9121-BDAC01211C09}" cache="Slicer_OrderStatus1" caption="OrderStatus"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0AF77F79-EA8B-44BA-A948-6DC63673E7D1}" cache="Slicer_Months__Date" caption="Months (Date)" columnCount="3" style="SlicerStyleLight4" rowHeight="234950"/>
  <slicer name="Years (Date)" xr10:uid="{E50AA977-B191-4AC1-914D-C48EFFAA6333}" cache="Slicer_Years__Date" caption="Years (Date)" style="SlicerStyleLigh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2" xr10:uid="{A02C37BF-D4A2-48C9-B275-698D3F62C9B5}" cache="Slicer_OrderStatus1" caption="OrderStatus" style="SlicerStyleLight4" rowHeight="144000"/>
  <slicer name="Months (Date) 1" xr10:uid="{593C8D26-1478-4434-9C83-2EB8616F942E}" cache="Slicer_Months__Date" caption="Months (Date)" columnCount="3" style="SlicerStyleLight4" rowHeight="180000"/>
  <slicer name="Years (Date) 1" xr10:uid="{78577A14-DC4C-422C-82C8-82FA085295D1}" cache="Slicer_Years__Date" caption="Years (Date)" style="SlicerStyleLight4" rowHeight="360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B0FC6-C181-40F1-9C67-0976FFE092EE}">
  <dimension ref="A3:F11"/>
  <sheetViews>
    <sheetView workbookViewId="0">
      <selection activeCell="L17" sqref="L17"/>
    </sheetView>
  </sheetViews>
  <sheetFormatPr defaultRowHeight="14.4" x14ac:dyDescent="0.3"/>
  <cols>
    <col min="1" max="1" width="12.5546875" bestFit="1" customWidth="1"/>
    <col min="2" max="2" width="17.44140625" bestFit="1" customWidth="1"/>
    <col min="3" max="3" width="15.21875" bestFit="1" customWidth="1"/>
  </cols>
  <sheetData>
    <row r="3" spans="1:6" x14ac:dyDescent="0.3">
      <c r="A3" s="4" t="s">
        <v>4284</v>
      </c>
      <c r="B3" t="s">
        <v>4287</v>
      </c>
    </row>
    <row r="4" spans="1:6" x14ac:dyDescent="0.3">
      <c r="A4" s="5" t="s">
        <v>2406</v>
      </c>
      <c r="B4" s="6">
        <v>1029</v>
      </c>
      <c r="E4" s="5"/>
      <c r="F4" s="6"/>
    </row>
    <row r="5" spans="1:6" x14ac:dyDescent="0.3">
      <c r="A5" s="5" t="s">
        <v>2409</v>
      </c>
      <c r="B5" s="6">
        <v>948</v>
      </c>
      <c r="E5" s="5"/>
      <c r="F5" s="6"/>
    </row>
    <row r="6" spans="1:6" x14ac:dyDescent="0.3">
      <c r="A6" s="5" t="s">
        <v>2408</v>
      </c>
      <c r="B6" s="6">
        <v>924</v>
      </c>
      <c r="E6" s="5"/>
      <c r="F6" s="6"/>
    </row>
    <row r="7" spans="1:6" x14ac:dyDescent="0.3">
      <c r="A7" s="5" t="s">
        <v>2403</v>
      </c>
      <c r="B7" s="6">
        <v>906</v>
      </c>
      <c r="E7" s="5"/>
      <c r="F7" s="6"/>
    </row>
    <row r="8" spans="1:6" x14ac:dyDescent="0.3">
      <c r="A8" s="5" t="s">
        <v>2404</v>
      </c>
      <c r="B8" s="6">
        <v>792</v>
      </c>
      <c r="E8" s="5"/>
      <c r="F8" s="6"/>
    </row>
    <row r="9" spans="1:6" x14ac:dyDescent="0.3">
      <c r="A9" s="5" t="s">
        <v>2407</v>
      </c>
      <c r="B9" s="6">
        <v>998</v>
      </c>
      <c r="E9" s="5"/>
      <c r="F9" s="6"/>
    </row>
    <row r="10" spans="1:6" x14ac:dyDescent="0.3">
      <c r="A10" s="5" t="s">
        <v>2405</v>
      </c>
      <c r="B10" s="6">
        <v>985</v>
      </c>
      <c r="E10" s="5"/>
      <c r="F10" s="6"/>
    </row>
    <row r="11" spans="1:6" x14ac:dyDescent="0.3">
      <c r="A11" s="5" t="s">
        <v>4285</v>
      </c>
      <c r="B11" s="6">
        <v>6582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EEB63-1ADA-48CF-8D94-778A8B474160}">
  <dimension ref="A3:G12"/>
  <sheetViews>
    <sheetView workbookViewId="0">
      <selection activeCell="K12" sqref="K12"/>
    </sheetView>
  </sheetViews>
  <sheetFormatPr defaultRowHeight="14.4" x14ac:dyDescent="0.3"/>
  <cols>
    <col min="1" max="1" width="14.88671875" bestFit="1" customWidth="1"/>
    <col min="2" max="2" width="15.5546875" bestFit="1" customWidth="1"/>
    <col min="3" max="3" width="8.88671875" bestFit="1" customWidth="1"/>
    <col min="4" max="4" width="7.88671875" bestFit="1" customWidth="1"/>
    <col min="5" max="5" width="8.77734375" bestFit="1" customWidth="1"/>
    <col min="6" max="6" width="7.88671875" bestFit="1" customWidth="1"/>
    <col min="7" max="7" width="10.77734375" bestFit="1" customWidth="1"/>
    <col min="8" max="8" width="15.88671875" bestFit="1" customWidth="1"/>
    <col min="9" max="9" width="14.88671875" bestFit="1" customWidth="1"/>
    <col min="10" max="10" width="15.88671875" bestFit="1" customWidth="1"/>
    <col min="11" max="11" width="14.88671875" bestFit="1" customWidth="1"/>
    <col min="12" max="12" width="20.6640625" bestFit="1" customWidth="1"/>
    <col min="13" max="13" width="19.6640625" bestFit="1" customWidth="1"/>
  </cols>
  <sheetData>
    <row r="3" spans="1:7" x14ac:dyDescent="0.3">
      <c r="A3" s="4" t="s">
        <v>4289</v>
      </c>
      <c r="B3" s="4" t="s">
        <v>4290</v>
      </c>
    </row>
    <row r="4" spans="1:7" x14ac:dyDescent="0.3">
      <c r="A4" s="4" t="s">
        <v>4284</v>
      </c>
      <c r="B4" t="s">
        <v>3071</v>
      </c>
      <c r="C4" t="s">
        <v>3073</v>
      </c>
      <c r="D4" t="s">
        <v>3074</v>
      </c>
      <c r="E4" t="s">
        <v>3072</v>
      </c>
      <c r="F4" t="s">
        <v>3070</v>
      </c>
      <c r="G4" t="s">
        <v>4285</v>
      </c>
    </row>
    <row r="5" spans="1:7" x14ac:dyDescent="0.3">
      <c r="A5" s="5" t="s">
        <v>2406</v>
      </c>
      <c r="B5" s="6">
        <v>142</v>
      </c>
      <c r="C5" s="6">
        <v>105</v>
      </c>
      <c r="D5" s="6">
        <v>145</v>
      </c>
      <c r="E5" s="6">
        <v>71</v>
      </c>
      <c r="F5" s="6">
        <v>99</v>
      </c>
      <c r="G5" s="6">
        <v>562</v>
      </c>
    </row>
    <row r="6" spans="1:7" x14ac:dyDescent="0.3">
      <c r="A6" s="5" t="s">
        <v>2409</v>
      </c>
      <c r="B6" s="6">
        <v>107</v>
      </c>
      <c r="C6" s="6">
        <v>94</v>
      </c>
      <c r="D6" s="6">
        <v>124</v>
      </c>
      <c r="E6" s="6">
        <v>86</v>
      </c>
      <c r="F6" s="6">
        <v>97</v>
      </c>
      <c r="G6" s="6">
        <v>508</v>
      </c>
    </row>
    <row r="7" spans="1:7" x14ac:dyDescent="0.3">
      <c r="A7" s="5" t="s">
        <v>2408</v>
      </c>
      <c r="B7" s="6">
        <v>113</v>
      </c>
      <c r="C7" s="6">
        <v>121</v>
      </c>
      <c r="D7" s="6">
        <v>85</v>
      </c>
      <c r="E7" s="6">
        <v>114</v>
      </c>
      <c r="F7" s="6">
        <v>102</v>
      </c>
      <c r="G7" s="6">
        <v>535</v>
      </c>
    </row>
    <row r="8" spans="1:7" x14ac:dyDescent="0.3">
      <c r="A8" s="5" t="s">
        <v>2403</v>
      </c>
      <c r="B8" s="6">
        <v>102</v>
      </c>
      <c r="C8" s="6">
        <v>96</v>
      </c>
      <c r="D8" s="6">
        <v>92</v>
      </c>
      <c r="E8" s="6">
        <v>97</v>
      </c>
      <c r="F8" s="6">
        <v>93</v>
      </c>
      <c r="G8" s="6">
        <v>480</v>
      </c>
    </row>
    <row r="9" spans="1:7" x14ac:dyDescent="0.3">
      <c r="A9" s="5" t="s">
        <v>2404</v>
      </c>
      <c r="B9" s="6">
        <v>80</v>
      </c>
      <c r="C9" s="6">
        <v>101</v>
      </c>
      <c r="D9" s="6">
        <v>90</v>
      </c>
      <c r="E9" s="6">
        <v>77</v>
      </c>
      <c r="F9" s="6">
        <v>63</v>
      </c>
      <c r="G9" s="6">
        <v>411</v>
      </c>
    </row>
    <row r="10" spans="1:7" x14ac:dyDescent="0.3">
      <c r="A10" s="5" t="s">
        <v>2407</v>
      </c>
      <c r="B10" s="6">
        <v>112</v>
      </c>
      <c r="C10" s="6">
        <v>88</v>
      </c>
      <c r="D10" s="6">
        <v>104</v>
      </c>
      <c r="E10" s="6">
        <v>114</v>
      </c>
      <c r="F10" s="6">
        <v>124</v>
      </c>
      <c r="G10" s="6">
        <v>542</v>
      </c>
    </row>
    <row r="11" spans="1:7" x14ac:dyDescent="0.3">
      <c r="A11" s="5" t="s">
        <v>2405</v>
      </c>
      <c r="B11" s="6">
        <v>103</v>
      </c>
      <c r="C11" s="6">
        <v>85</v>
      </c>
      <c r="D11" s="6">
        <v>84</v>
      </c>
      <c r="E11" s="6">
        <v>123</v>
      </c>
      <c r="F11" s="6">
        <v>102</v>
      </c>
      <c r="G11" s="6">
        <v>497</v>
      </c>
    </row>
    <row r="12" spans="1:7" x14ac:dyDescent="0.3">
      <c r="A12" s="5" t="s">
        <v>4285</v>
      </c>
      <c r="B12" s="6">
        <v>759</v>
      </c>
      <c r="C12" s="6">
        <v>690</v>
      </c>
      <c r="D12" s="6">
        <v>724</v>
      </c>
      <c r="E12" s="6">
        <v>682</v>
      </c>
      <c r="F12" s="6">
        <v>680</v>
      </c>
      <c r="G12" s="6">
        <v>3535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DBA60-52F6-41FD-8CFC-62BCAAE4A37A}">
  <dimension ref="A3:B9"/>
  <sheetViews>
    <sheetView workbookViewId="0">
      <selection activeCell="M15" sqref="M15"/>
    </sheetView>
  </sheetViews>
  <sheetFormatPr defaultRowHeight="14.4" x14ac:dyDescent="0.3"/>
  <cols>
    <col min="1" max="1" width="12.5546875" bestFit="1" customWidth="1"/>
    <col min="2" max="2" width="15.44140625" bestFit="1" customWidth="1"/>
  </cols>
  <sheetData>
    <row r="3" spans="1:2" x14ac:dyDescent="0.3">
      <c r="A3" s="4" t="s">
        <v>4284</v>
      </c>
      <c r="B3" t="s">
        <v>4288</v>
      </c>
    </row>
    <row r="4" spans="1:2" x14ac:dyDescent="0.3">
      <c r="A4" s="5" t="s">
        <v>3069</v>
      </c>
      <c r="B4" s="6">
        <v>246</v>
      </c>
    </row>
    <row r="5" spans="1:2" x14ac:dyDescent="0.3">
      <c r="A5" s="5" t="s">
        <v>3067</v>
      </c>
      <c r="B5" s="6">
        <v>234</v>
      </c>
    </row>
    <row r="6" spans="1:2" x14ac:dyDescent="0.3">
      <c r="A6" s="5" t="s">
        <v>3065</v>
      </c>
      <c r="B6" s="6">
        <v>232</v>
      </c>
    </row>
    <row r="7" spans="1:2" x14ac:dyDescent="0.3">
      <c r="A7" s="5" t="s">
        <v>3068</v>
      </c>
      <c r="B7" s="6">
        <v>230</v>
      </c>
    </row>
    <row r="8" spans="1:2" x14ac:dyDescent="0.3">
      <c r="A8" s="5" t="s">
        <v>3066</v>
      </c>
      <c r="B8" s="6">
        <v>258</v>
      </c>
    </row>
    <row r="9" spans="1:2" x14ac:dyDescent="0.3">
      <c r="A9" s="5" t="s">
        <v>4285</v>
      </c>
      <c r="B9" s="6">
        <v>1200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8B38E-5550-4805-B8A4-8DEF6F418CA2}">
  <dimension ref="A3:B8"/>
  <sheetViews>
    <sheetView workbookViewId="0">
      <selection activeCell="L17" sqref="L17"/>
    </sheetView>
  </sheetViews>
  <sheetFormatPr defaultRowHeight="14.4" x14ac:dyDescent="0.3"/>
  <cols>
    <col min="1" max="1" width="12.5546875" bestFit="1" customWidth="1"/>
    <col min="2" max="2" width="18.88671875" bestFit="1" customWidth="1"/>
  </cols>
  <sheetData>
    <row r="3" spans="1:2" x14ac:dyDescent="0.3">
      <c r="A3" s="4" t="s">
        <v>4284</v>
      </c>
      <c r="B3" t="s">
        <v>4292</v>
      </c>
    </row>
    <row r="4" spans="1:2" x14ac:dyDescent="0.3">
      <c r="A4" s="5" t="s">
        <v>4276</v>
      </c>
      <c r="B4" s="6">
        <v>313</v>
      </c>
    </row>
    <row r="5" spans="1:2" x14ac:dyDescent="0.3">
      <c r="A5" s="5" t="s">
        <v>4283</v>
      </c>
      <c r="B5" s="6">
        <v>309</v>
      </c>
    </row>
    <row r="6" spans="1:2" x14ac:dyDescent="0.3">
      <c r="A6" s="5" t="s">
        <v>4275</v>
      </c>
      <c r="B6" s="6">
        <v>286</v>
      </c>
    </row>
    <row r="7" spans="1:2" x14ac:dyDescent="0.3">
      <c r="A7" s="5" t="s">
        <v>4277</v>
      </c>
      <c r="B7" s="6">
        <v>292</v>
      </c>
    </row>
    <row r="8" spans="1:2" x14ac:dyDescent="0.3">
      <c r="A8" s="5" t="s">
        <v>4285</v>
      </c>
      <c r="B8" s="6">
        <v>1200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CA49D-F5A0-41B0-A13E-F969A8385023}">
  <dimension ref="A3:E14"/>
  <sheetViews>
    <sheetView workbookViewId="0">
      <selection activeCell="E27" sqref="E27"/>
    </sheetView>
  </sheetViews>
  <sheetFormatPr defaultRowHeight="14.4" x14ac:dyDescent="0.3"/>
  <cols>
    <col min="1" max="1" width="12.5546875" bestFit="1" customWidth="1"/>
    <col min="2" max="2" width="15.88671875" bestFit="1" customWidth="1"/>
    <col min="3" max="4" width="14.88671875" bestFit="1" customWidth="1"/>
    <col min="5" max="7" width="8" bestFit="1" customWidth="1"/>
    <col min="8" max="8" width="7" bestFit="1" customWidth="1"/>
    <col min="9" max="9" width="10.77734375" bestFit="1" customWidth="1"/>
  </cols>
  <sheetData>
    <row r="3" spans="1:5" x14ac:dyDescent="0.3">
      <c r="A3" s="4" t="s">
        <v>4284</v>
      </c>
      <c r="B3" t="s">
        <v>4286</v>
      </c>
    </row>
    <row r="4" spans="1:5" x14ac:dyDescent="0.3">
      <c r="A4" s="5" t="s">
        <v>1683</v>
      </c>
      <c r="B4" s="6">
        <v>3384.9</v>
      </c>
      <c r="D4" s="5" t="s">
        <v>1480</v>
      </c>
      <c r="E4" s="6">
        <v>5723.23</v>
      </c>
    </row>
    <row r="5" spans="1:5" x14ac:dyDescent="0.3">
      <c r="A5" s="5" t="s">
        <v>1321</v>
      </c>
      <c r="B5" s="6">
        <v>3353.75</v>
      </c>
      <c r="D5" s="5" t="s">
        <v>2000</v>
      </c>
      <c r="E5" s="6">
        <v>3456.4</v>
      </c>
    </row>
    <row r="6" spans="1:5" x14ac:dyDescent="0.3">
      <c r="A6" s="5" t="s">
        <v>1542</v>
      </c>
      <c r="B6" s="6">
        <v>3370.2</v>
      </c>
      <c r="D6" s="5" t="s">
        <v>1845</v>
      </c>
      <c r="E6" s="6">
        <v>3390.8</v>
      </c>
    </row>
    <row r="7" spans="1:5" x14ac:dyDescent="0.3">
      <c r="A7" s="5" t="s">
        <v>1677</v>
      </c>
      <c r="B7" s="6">
        <v>3313.9</v>
      </c>
      <c r="D7" s="5" t="s">
        <v>1683</v>
      </c>
      <c r="E7" s="6">
        <v>3384.9</v>
      </c>
    </row>
    <row r="8" spans="1:5" x14ac:dyDescent="0.3">
      <c r="A8" s="5" t="s">
        <v>1480</v>
      </c>
      <c r="B8" s="6">
        <v>5723.23</v>
      </c>
      <c r="D8" s="5" t="s">
        <v>1542</v>
      </c>
      <c r="E8" s="6">
        <v>3370.2</v>
      </c>
    </row>
    <row r="9" spans="1:5" x14ac:dyDescent="0.3">
      <c r="A9" s="5" t="s">
        <v>2271</v>
      </c>
      <c r="B9" s="6">
        <v>3334</v>
      </c>
      <c r="D9" s="5" t="s">
        <v>1321</v>
      </c>
      <c r="E9" s="6">
        <v>3353.75</v>
      </c>
    </row>
    <row r="10" spans="1:5" x14ac:dyDescent="0.3">
      <c r="A10" s="5" t="s">
        <v>2000</v>
      </c>
      <c r="B10" s="6">
        <v>3456.4</v>
      </c>
      <c r="D10" s="5" t="s">
        <v>1540</v>
      </c>
      <c r="E10" s="6">
        <v>3352.4</v>
      </c>
    </row>
    <row r="11" spans="1:5" x14ac:dyDescent="0.3">
      <c r="A11" s="5" t="s">
        <v>2237</v>
      </c>
      <c r="B11" s="6">
        <v>3322.55</v>
      </c>
      <c r="D11" s="5" t="s">
        <v>2271</v>
      </c>
      <c r="E11" s="6">
        <v>3334</v>
      </c>
    </row>
    <row r="12" spans="1:5" x14ac:dyDescent="0.3">
      <c r="A12" s="5" t="s">
        <v>1540</v>
      </c>
      <c r="B12" s="6">
        <v>3352.4</v>
      </c>
      <c r="D12" s="5" t="s">
        <v>2237</v>
      </c>
      <c r="E12" s="6">
        <v>3322.55</v>
      </c>
    </row>
    <row r="13" spans="1:5" x14ac:dyDescent="0.3">
      <c r="A13" s="5" t="s">
        <v>1845</v>
      </c>
      <c r="B13" s="6">
        <v>3390.8</v>
      </c>
      <c r="D13" s="5" t="s">
        <v>1677</v>
      </c>
      <c r="E13" s="6">
        <v>3313.9</v>
      </c>
    </row>
    <row r="14" spans="1:5" x14ac:dyDescent="0.3">
      <c r="A14" s="5" t="s">
        <v>4285</v>
      </c>
      <c r="B14" s="6">
        <v>36002.129999999997</v>
      </c>
    </row>
  </sheetData>
  <sortState xmlns:xlrd2="http://schemas.microsoft.com/office/spreadsheetml/2017/richdata2" ref="D4:E13">
    <sortCondition descending="1" ref="E4:E13"/>
  </sortState>
  <conditionalFormatting pivot="1" sqref="B4:B13">
    <cfRule type="dataBar" priority="2">
      <dataBar>
        <cfvo type="min"/>
        <cfvo type="max"/>
        <color rgb="FFFFB628"/>
      </dataBar>
      <extLst>
        <ext xmlns:x14="http://schemas.microsoft.com/office/spreadsheetml/2009/9/main" uri="{B025F937-C7B1-47D3-B67F-A62EFF666E3E}">
          <x14:id>{CFADCD5A-5067-406B-9815-476C146194AC}</x14:id>
        </ext>
      </extLst>
    </cfRule>
  </conditionalFormatting>
  <conditionalFormatting sqref="E4:E13">
    <cfRule type="dataBar" priority="1">
      <dataBar>
        <cfvo type="min"/>
        <cfvo type="max"/>
        <color rgb="FFFFB628"/>
      </dataBar>
      <extLst>
        <ext xmlns:x14="http://schemas.microsoft.com/office/spreadsheetml/2009/9/main" uri="{B025F937-C7B1-47D3-B67F-A62EFF666E3E}">
          <x14:id>{A580E79E-E402-4746-A4D7-13CDAAC4209B}</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FADCD5A-5067-406B-9815-476C146194AC}">
            <x14:dataBar minLength="0" maxLength="100" border="1" negativeBarBorderColorSameAsPositive="0">
              <x14:cfvo type="autoMin"/>
              <x14:cfvo type="autoMax"/>
              <x14:borderColor rgb="FFFFB628"/>
              <x14:negativeFillColor rgb="FFFF0000"/>
              <x14:negativeBorderColor rgb="FFFF0000"/>
              <x14:axisColor rgb="FF000000"/>
            </x14:dataBar>
          </x14:cfRule>
          <xm:sqref>B4:B13</xm:sqref>
        </x14:conditionalFormatting>
        <x14:conditionalFormatting xmlns:xm="http://schemas.microsoft.com/office/excel/2006/main">
          <x14:cfRule type="dataBar" id="{A580E79E-E402-4746-A4D7-13CDAAC4209B}">
            <x14:dataBar minLength="0" maxLength="100" border="1" negativeBarBorderColorSameAsPositive="0">
              <x14:cfvo type="autoMin"/>
              <x14:cfvo type="autoMax"/>
              <x14:borderColor rgb="FFFFB628"/>
              <x14:negativeFillColor rgb="FFFF0000"/>
              <x14:negativeBorderColor rgb="FFFF0000"/>
              <x14:axisColor rgb="FF000000"/>
            </x14:dataBar>
          </x14:cfRule>
          <xm:sqref>E4:E13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3C57A-65AD-4096-8223-B87F495729FF}">
  <dimension ref="A3:E9"/>
  <sheetViews>
    <sheetView workbookViewId="0">
      <selection activeCell="P16" sqref="P16"/>
    </sheetView>
  </sheetViews>
  <sheetFormatPr defaultRowHeight="14.4" x14ac:dyDescent="0.3"/>
  <cols>
    <col min="1" max="1" width="12.5546875" bestFit="1" customWidth="1"/>
    <col min="2" max="2" width="18.88671875" bestFit="1" customWidth="1"/>
  </cols>
  <sheetData>
    <row r="3" spans="1:5" x14ac:dyDescent="0.3">
      <c r="A3" s="4" t="s">
        <v>4284</v>
      </c>
      <c r="B3" t="s">
        <v>4292</v>
      </c>
    </row>
    <row r="4" spans="1:5" x14ac:dyDescent="0.3">
      <c r="A4" s="5" t="s">
        <v>4280</v>
      </c>
      <c r="B4" s="6">
        <v>250</v>
      </c>
      <c r="D4" s="5" t="s">
        <v>4280</v>
      </c>
      <c r="E4" s="6">
        <v>250</v>
      </c>
    </row>
    <row r="5" spans="1:5" x14ac:dyDescent="0.3">
      <c r="A5" s="5" t="s">
        <v>4281</v>
      </c>
      <c r="B5" s="6">
        <v>228</v>
      </c>
      <c r="D5" s="5" t="s">
        <v>4281</v>
      </c>
      <c r="E5" s="6">
        <v>228</v>
      </c>
    </row>
    <row r="6" spans="1:5" x14ac:dyDescent="0.3">
      <c r="A6" s="5" t="s">
        <v>4282</v>
      </c>
      <c r="B6" s="6">
        <v>241</v>
      </c>
      <c r="D6" s="5" t="s">
        <v>4282</v>
      </c>
      <c r="E6" s="6">
        <v>241</v>
      </c>
    </row>
    <row r="7" spans="1:5" x14ac:dyDescent="0.3">
      <c r="A7" s="5" t="s">
        <v>4278</v>
      </c>
      <c r="B7" s="6">
        <v>259</v>
      </c>
      <c r="D7" s="5" t="s">
        <v>4278</v>
      </c>
      <c r="E7" s="6">
        <v>259</v>
      </c>
    </row>
    <row r="8" spans="1:5" x14ac:dyDescent="0.3">
      <c r="A8" s="5" t="s">
        <v>4279</v>
      </c>
      <c r="B8" s="6">
        <v>222</v>
      </c>
      <c r="D8" s="5" t="s">
        <v>4279</v>
      </c>
      <c r="E8" s="6">
        <v>222</v>
      </c>
    </row>
    <row r="9" spans="1:5" x14ac:dyDescent="0.3">
      <c r="A9" s="5" t="s">
        <v>4285</v>
      </c>
      <c r="B9" s="6">
        <v>1200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F5336-34DB-45E8-BC51-AC373697AF4A}">
  <dimension ref="A3:G11"/>
  <sheetViews>
    <sheetView workbookViewId="0">
      <selection activeCell="B11" sqref="B11"/>
    </sheetView>
  </sheetViews>
  <sheetFormatPr defaultRowHeight="14.4" x14ac:dyDescent="0.3"/>
  <cols>
    <col min="1" max="1" width="15.88671875" bestFit="1" customWidth="1"/>
    <col min="2" max="2" width="15.5546875" bestFit="1" customWidth="1"/>
    <col min="3" max="6" width="10" bestFit="1" customWidth="1"/>
    <col min="7" max="7" width="11" bestFit="1" customWidth="1"/>
  </cols>
  <sheetData>
    <row r="3" spans="1:7" x14ac:dyDescent="0.3">
      <c r="A3" s="4" t="s">
        <v>4286</v>
      </c>
      <c r="B3" s="4" t="s">
        <v>4290</v>
      </c>
    </row>
    <row r="4" spans="1:7" x14ac:dyDescent="0.3">
      <c r="A4" s="4" t="s">
        <v>4284</v>
      </c>
      <c r="B4" t="s">
        <v>3071</v>
      </c>
      <c r="C4" t="s">
        <v>3073</v>
      </c>
      <c r="D4" t="s">
        <v>3074</v>
      </c>
      <c r="E4" t="s">
        <v>3072</v>
      </c>
      <c r="F4" t="s">
        <v>3070</v>
      </c>
      <c r="G4" t="s">
        <v>4285</v>
      </c>
    </row>
    <row r="5" spans="1:7" x14ac:dyDescent="0.3">
      <c r="A5" s="5" t="s">
        <v>4293</v>
      </c>
      <c r="B5" s="6">
        <v>113542.89000000004</v>
      </c>
      <c r="C5" s="6">
        <v>99841.44</v>
      </c>
      <c r="D5" s="6">
        <v>114869.37999999999</v>
      </c>
      <c r="E5" s="6">
        <v>108552.62000000002</v>
      </c>
      <c r="F5" s="6">
        <v>115836.91000000005</v>
      </c>
      <c r="G5" s="6">
        <v>552643.24000000011</v>
      </c>
    </row>
    <row r="6" spans="1:7" x14ac:dyDescent="0.3">
      <c r="A6" s="5" t="s">
        <v>4294</v>
      </c>
      <c r="B6" s="6">
        <v>97073.500000000015</v>
      </c>
      <c r="C6" s="6">
        <v>101755.72000000004</v>
      </c>
      <c r="D6" s="6">
        <v>100961.32999999999</v>
      </c>
      <c r="E6" s="6">
        <v>82822.44</v>
      </c>
      <c r="F6" s="6">
        <v>97622.88</v>
      </c>
      <c r="G6" s="6">
        <v>480235.87000000005</v>
      </c>
    </row>
    <row r="7" spans="1:7" x14ac:dyDescent="0.3">
      <c r="A7" s="5" t="s">
        <v>4295</v>
      </c>
      <c r="B7" s="6">
        <v>65779.819999999992</v>
      </c>
      <c r="C7" s="6">
        <v>41003.159999999989</v>
      </c>
      <c r="D7" s="6">
        <v>40497.440000000002</v>
      </c>
      <c r="E7" s="6">
        <v>51902.639999999985</v>
      </c>
      <c r="F7" s="6">
        <v>32699.79</v>
      </c>
      <c r="G7" s="6">
        <v>231882.84999999998</v>
      </c>
    </row>
    <row r="8" spans="1:7" x14ac:dyDescent="0.3">
      <c r="A8" s="5" t="s">
        <v>4285</v>
      </c>
      <c r="B8" s="6">
        <v>276396.21000000008</v>
      </c>
      <c r="C8" s="6">
        <v>242600.32000000001</v>
      </c>
      <c r="D8" s="6">
        <v>256328.14999999997</v>
      </c>
      <c r="E8" s="6">
        <v>243277.7</v>
      </c>
      <c r="F8" s="6">
        <v>246159.58000000005</v>
      </c>
      <c r="G8" s="6">
        <v>1264761.96</v>
      </c>
    </row>
    <row r="11" spans="1:7" x14ac:dyDescent="0.3">
      <c r="A11" s="9" t="s">
        <v>4291</v>
      </c>
      <c r="B11" s="8">
        <f>GETPIVOTDATA("TotalPrice",$A$3)-(GETPIVOTDATA("TotalPrice",$A$3,"OrderStatus","Cancelled")+GETPIVOTDATA("TotalPrice",$A$3,"OrderStatus","Delivered"))</f>
        <v>745765.42999999993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5AFF6-DB0F-47D9-81D5-3647258BF693}">
  <dimension ref="A1:B5"/>
  <sheetViews>
    <sheetView tabSelected="1" workbookViewId="0">
      <selection activeCell="B4" sqref="B4"/>
    </sheetView>
  </sheetViews>
  <sheetFormatPr defaultRowHeight="14.4" x14ac:dyDescent="0.3"/>
  <cols>
    <col min="1" max="1" width="12.21875" customWidth="1"/>
    <col min="2" max="3" width="13" customWidth="1"/>
  </cols>
  <sheetData>
    <row r="1" spans="1:2" x14ac:dyDescent="0.3">
      <c r="A1" s="20" t="s">
        <v>4301</v>
      </c>
      <c r="B1" s="20"/>
    </row>
    <row r="2" spans="1:2" x14ac:dyDescent="0.3">
      <c r="A2" s="20"/>
      <c r="B2" s="20"/>
    </row>
    <row r="3" spans="1:2" x14ac:dyDescent="0.3">
      <c r="A3" s="19" t="s">
        <v>4298</v>
      </c>
      <c r="B3" s="7" t="s">
        <v>1217</v>
      </c>
    </row>
    <row r="4" spans="1:2" x14ac:dyDescent="0.3">
      <c r="A4" s="19" t="s">
        <v>4299</v>
      </c>
      <c r="B4" s="7" t="str">
        <f>VLOOKUP(B3,Dataset!C:N,2,FALSE)</f>
        <v>Chair</v>
      </c>
    </row>
    <row r="5" spans="1:2" x14ac:dyDescent="0.3">
      <c r="A5" s="19" t="s">
        <v>4300</v>
      </c>
      <c r="B5" s="7" t="str">
        <f>VLOOKUP($B$3,Dataset!C:N,7,FALSE)</f>
        <v>Returned</v>
      </c>
    </row>
  </sheetData>
  <mergeCells count="1">
    <mergeCell ref="A1:B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E837-C7C3-48CB-83BC-8E8B1E0DE0BF}">
  <sheetPr>
    <tabColor theme="6" tint="0.59999389629810485"/>
  </sheetPr>
  <dimension ref="A1:AD41"/>
  <sheetViews>
    <sheetView zoomScale="85" zoomScaleNormal="85" workbookViewId="0">
      <selection activeCell="U37" sqref="U37"/>
    </sheetView>
  </sheetViews>
  <sheetFormatPr defaultRowHeight="14.4" x14ac:dyDescent="0.3"/>
  <cols>
    <col min="1" max="1" width="3.109375" style="10" customWidth="1"/>
    <col min="2" max="6" width="8.88671875" style="10"/>
    <col min="7" max="7" width="14.21875" style="10" customWidth="1"/>
    <col min="8" max="8" width="3" style="10" customWidth="1"/>
    <col min="9" max="9" width="8.88671875" style="10"/>
    <col min="10" max="10" width="9.33203125" style="10" customWidth="1"/>
    <col min="11" max="11" width="3.109375" style="10" customWidth="1"/>
    <col min="12" max="15" width="8.88671875" style="10"/>
    <col min="16" max="16" width="3.5546875" style="10" customWidth="1"/>
    <col min="17" max="17" width="8.88671875" style="10"/>
    <col min="18" max="18" width="6.77734375" style="10" customWidth="1"/>
    <col min="19" max="19" width="3.21875" style="10" customWidth="1"/>
    <col min="20" max="23" width="8.88671875" style="10"/>
    <col min="24" max="24" width="3.77734375" style="10" customWidth="1"/>
    <col min="25" max="29" width="8.88671875" style="10"/>
    <col min="30" max="30" width="5.88671875" style="10" customWidth="1"/>
    <col min="31" max="16384" width="8.88671875" style="10"/>
  </cols>
  <sheetData>
    <row r="1" spans="1:30" x14ac:dyDescent="0.3">
      <c r="A1" s="18" t="s">
        <v>4296</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0"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row>
    <row r="4" spans="1:30" x14ac:dyDescent="0.3">
      <c r="A4" s="12"/>
      <c r="B4" s="12"/>
      <c r="C4" s="12"/>
      <c r="D4" s="12"/>
      <c r="E4" s="12"/>
      <c r="F4" s="12"/>
      <c r="G4" s="12"/>
      <c r="H4" s="12"/>
      <c r="I4" s="12"/>
      <c r="J4" s="12"/>
      <c r="L4" s="14" t="s">
        <v>4291</v>
      </c>
      <c r="M4" s="14"/>
      <c r="N4" s="14"/>
      <c r="O4" s="14"/>
      <c r="Q4" s="12"/>
      <c r="R4" s="12"/>
      <c r="S4" s="12"/>
      <c r="T4" s="14"/>
      <c r="U4" s="14"/>
      <c r="V4" s="14"/>
      <c r="W4" s="14"/>
      <c r="Y4" s="12"/>
      <c r="Z4" s="12"/>
      <c r="AA4" s="12"/>
      <c r="AB4" s="12"/>
      <c r="AC4" s="12"/>
      <c r="AD4" s="12"/>
    </row>
    <row r="5" spans="1:30" ht="14.4" customHeight="1" x14ac:dyDescent="0.3">
      <c r="A5" s="12"/>
      <c r="B5" s="12"/>
      <c r="C5" s="12"/>
      <c r="D5" s="12"/>
      <c r="E5" s="12"/>
      <c r="F5" s="12"/>
      <c r="G5" s="12"/>
      <c r="H5" s="12"/>
      <c r="I5" s="12"/>
      <c r="J5" s="12"/>
      <c r="L5" s="14"/>
      <c r="M5" s="14"/>
      <c r="N5" s="14"/>
      <c r="O5" s="14"/>
      <c r="Q5" s="12"/>
      <c r="R5" s="12"/>
      <c r="S5" s="12"/>
      <c r="T5" s="14"/>
      <c r="U5" s="14"/>
      <c r="V5" s="14"/>
      <c r="W5" s="14"/>
      <c r="Y5" s="12"/>
      <c r="Z5" s="12"/>
      <c r="AA5" s="12"/>
      <c r="AB5" s="12"/>
      <c r="AC5" s="12"/>
      <c r="AD5" s="12"/>
    </row>
    <row r="6" spans="1:30" ht="14.4" customHeight="1" x14ac:dyDescent="0.3">
      <c r="A6" s="12"/>
      <c r="B6" s="12"/>
      <c r="C6" s="12"/>
      <c r="D6" s="12"/>
      <c r="E6" s="12"/>
      <c r="F6" s="12"/>
      <c r="G6" s="12"/>
      <c r="H6" s="12"/>
      <c r="I6" s="12"/>
      <c r="J6" s="12"/>
      <c r="L6" s="14"/>
      <c r="M6" s="14"/>
      <c r="N6" s="14"/>
      <c r="O6" s="14"/>
      <c r="P6" s="11"/>
      <c r="Q6" s="13"/>
      <c r="R6" s="13"/>
      <c r="S6" s="12"/>
      <c r="T6" s="14"/>
      <c r="U6" s="14"/>
      <c r="V6" s="14"/>
      <c r="W6" s="14"/>
      <c r="Y6" s="12"/>
      <c r="Z6" s="12"/>
      <c r="AA6" s="12"/>
      <c r="AB6" s="12"/>
      <c r="AC6" s="12"/>
      <c r="AD6" s="12"/>
    </row>
    <row r="7" spans="1:30" ht="14.4" customHeight="1" x14ac:dyDescent="0.3">
      <c r="A7" s="12"/>
      <c r="B7" s="12"/>
      <c r="C7" s="12"/>
      <c r="D7" s="12"/>
      <c r="E7" s="12"/>
      <c r="F7" s="12"/>
      <c r="G7" s="12"/>
      <c r="H7" s="12"/>
      <c r="I7" s="12"/>
      <c r="J7" s="12"/>
      <c r="L7" s="14"/>
      <c r="M7" s="14"/>
      <c r="N7" s="14"/>
      <c r="O7" s="14"/>
      <c r="P7" s="11"/>
      <c r="Q7" s="13"/>
      <c r="R7" s="13"/>
      <c r="S7" s="12"/>
      <c r="T7" s="14"/>
      <c r="U7" s="14"/>
      <c r="V7" s="14"/>
      <c r="W7" s="14"/>
      <c r="Y7" s="12"/>
      <c r="Z7" s="12"/>
      <c r="AA7" s="12"/>
      <c r="AB7" s="12"/>
      <c r="AC7" s="12"/>
      <c r="AD7" s="12"/>
    </row>
    <row r="8" spans="1:30" ht="14.4" customHeight="1" x14ac:dyDescent="0.3">
      <c r="A8" s="12"/>
      <c r="B8" s="12"/>
      <c r="C8" s="12"/>
      <c r="D8" s="12"/>
      <c r="E8" s="12"/>
      <c r="F8" s="12"/>
      <c r="G8" s="12"/>
      <c r="H8" s="12"/>
      <c r="I8" s="12"/>
      <c r="J8" s="12"/>
      <c r="P8" s="11"/>
      <c r="Q8" s="13"/>
      <c r="R8" s="13"/>
      <c r="S8" s="12"/>
      <c r="T8" s="12"/>
      <c r="U8" s="12"/>
      <c r="V8" s="12"/>
      <c r="W8" s="12"/>
      <c r="Y8" s="12"/>
      <c r="Z8" s="12"/>
      <c r="AA8" s="12"/>
      <c r="AB8" s="12"/>
      <c r="AC8" s="12"/>
      <c r="AD8" s="12"/>
    </row>
    <row r="9" spans="1:30" ht="14.4" customHeight="1" x14ac:dyDescent="0.3">
      <c r="A9" s="12"/>
      <c r="B9" s="12"/>
      <c r="C9" s="12"/>
      <c r="D9" s="12"/>
      <c r="E9" s="12"/>
      <c r="F9" s="12"/>
      <c r="G9" s="12"/>
      <c r="H9" s="12"/>
      <c r="I9" s="12"/>
      <c r="J9" s="12"/>
      <c r="L9" s="16">
        <f>'Obj8'!B11</f>
        <v>745765.42999999993</v>
      </c>
      <c r="M9" s="16"/>
      <c r="N9" s="16"/>
      <c r="O9" s="16"/>
      <c r="Q9" s="12"/>
      <c r="R9" s="12"/>
      <c r="S9" s="12"/>
      <c r="T9" s="15"/>
      <c r="U9" s="15"/>
      <c r="V9" s="15"/>
      <c r="W9" s="15"/>
      <c r="Y9" s="12"/>
      <c r="Z9" s="12"/>
      <c r="AA9" s="12"/>
      <c r="AB9" s="12"/>
      <c r="AC9" s="12"/>
      <c r="AD9" s="12"/>
    </row>
    <row r="10" spans="1:30" ht="14.4" customHeight="1" x14ac:dyDescent="0.3">
      <c r="A10" s="12"/>
      <c r="B10" s="12"/>
      <c r="C10" s="12"/>
      <c r="D10" s="12"/>
      <c r="E10" s="12"/>
      <c r="F10" s="12"/>
      <c r="G10" s="12"/>
      <c r="H10" s="12"/>
      <c r="I10" s="12"/>
      <c r="J10" s="12"/>
      <c r="L10" s="16"/>
      <c r="M10" s="16"/>
      <c r="N10" s="16"/>
      <c r="O10" s="16"/>
      <c r="Q10" s="12"/>
      <c r="R10" s="12"/>
      <c r="S10" s="12"/>
      <c r="T10" s="15"/>
      <c r="U10" s="15"/>
      <c r="V10" s="15"/>
      <c r="W10" s="15"/>
      <c r="Y10" s="12"/>
      <c r="Z10" s="12"/>
      <c r="AA10" s="12"/>
      <c r="AB10" s="12"/>
      <c r="AC10" s="12"/>
      <c r="AD10" s="12"/>
    </row>
    <row r="11" spans="1:30" ht="14.4" customHeight="1" x14ac:dyDescent="0.3">
      <c r="A11" s="12"/>
      <c r="B11" s="12"/>
      <c r="C11" s="12"/>
      <c r="D11" s="12"/>
      <c r="E11" s="12"/>
      <c r="F11" s="12"/>
      <c r="G11" s="12"/>
      <c r="H11" s="12"/>
      <c r="I11" s="12"/>
      <c r="J11" s="12"/>
      <c r="L11" s="16"/>
      <c r="M11" s="16"/>
      <c r="N11" s="16"/>
      <c r="O11" s="16"/>
      <c r="Q11" s="12"/>
      <c r="R11" s="12"/>
      <c r="S11" s="12"/>
      <c r="T11" s="15"/>
      <c r="U11" s="15"/>
      <c r="V11" s="15"/>
      <c r="W11" s="15"/>
      <c r="Y11" s="12"/>
      <c r="Z11" s="12"/>
      <c r="AA11" s="12"/>
      <c r="AB11" s="12"/>
      <c r="AC11" s="12"/>
      <c r="AD11" s="12"/>
    </row>
    <row r="12" spans="1:30" x14ac:dyDescent="0.3">
      <c r="A12" s="12"/>
      <c r="B12" s="12"/>
      <c r="C12" s="12"/>
      <c r="D12" s="12"/>
      <c r="E12" s="12"/>
      <c r="F12" s="12"/>
      <c r="G12" s="12"/>
      <c r="H12" s="12"/>
      <c r="I12" s="12"/>
      <c r="J12" s="12"/>
      <c r="L12" s="16"/>
      <c r="M12" s="16"/>
      <c r="N12" s="16"/>
      <c r="O12" s="16"/>
      <c r="Q12" s="12"/>
      <c r="R12" s="12"/>
      <c r="S12" s="12"/>
      <c r="T12" s="15"/>
      <c r="U12" s="15"/>
      <c r="V12" s="15"/>
      <c r="W12" s="15"/>
      <c r="Y12" s="12"/>
      <c r="Z12" s="12"/>
      <c r="AA12" s="12"/>
      <c r="AB12" s="12"/>
      <c r="AC12" s="12"/>
      <c r="AD12" s="12"/>
    </row>
    <row r="13" spans="1:30" x14ac:dyDescent="0.3">
      <c r="Q13" s="12"/>
      <c r="R13" s="12"/>
      <c r="S13" s="12"/>
      <c r="T13" s="12"/>
      <c r="U13" s="12"/>
      <c r="V13" s="12"/>
      <c r="W13" s="12"/>
      <c r="Y13" s="12"/>
      <c r="Z13" s="12"/>
      <c r="AA13" s="12"/>
      <c r="AB13" s="12"/>
      <c r="AC13" s="12"/>
      <c r="AD13" s="12"/>
    </row>
    <row r="14" spans="1:30" x14ac:dyDescent="0.3">
      <c r="A14" s="12"/>
      <c r="B14" s="12"/>
      <c r="C14" s="12"/>
      <c r="D14" s="12"/>
      <c r="E14" s="12"/>
      <c r="F14" s="12"/>
      <c r="G14" s="12"/>
      <c r="I14" s="12"/>
      <c r="J14" s="12"/>
      <c r="K14" s="12"/>
      <c r="L14" s="12"/>
      <c r="M14" s="12"/>
      <c r="N14" s="12"/>
      <c r="O14" s="12"/>
      <c r="Q14" s="12"/>
      <c r="R14" s="12"/>
      <c r="S14" s="12"/>
      <c r="T14" s="12"/>
      <c r="U14" s="12"/>
      <c r="V14" s="12"/>
      <c r="W14" s="12"/>
      <c r="Y14" s="12"/>
      <c r="Z14" s="12"/>
      <c r="AA14" s="12"/>
      <c r="AB14" s="12"/>
      <c r="AC14" s="12"/>
      <c r="AD14" s="12"/>
    </row>
    <row r="15" spans="1:30" x14ac:dyDescent="0.3">
      <c r="A15" s="12"/>
      <c r="B15" s="12"/>
      <c r="C15" s="12"/>
      <c r="D15" s="12"/>
      <c r="E15" s="12"/>
      <c r="F15" s="12"/>
      <c r="G15" s="12"/>
      <c r="I15" s="12"/>
      <c r="J15" s="12"/>
      <c r="K15" s="12"/>
      <c r="L15" s="12"/>
      <c r="M15" s="12"/>
      <c r="N15" s="12"/>
      <c r="O15" s="12"/>
      <c r="Q15" s="12"/>
      <c r="R15" s="12"/>
      <c r="S15" s="12"/>
      <c r="T15" s="12"/>
      <c r="U15" s="12"/>
      <c r="V15" s="12"/>
      <c r="W15" s="12"/>
      <c r="Y15" s="12"/>
      <c r="Z15" s="12"/>
      <c r="AA15" s="12"/>
      <c r="AB15" s="12"/>
      <c r="AC15" s="12"/>
      <c r="AD15" s="12"/>
    </row>
    <row r="16" spans="1:30" x14ac:dyDescent="0.3">
      <c r="A16" s="12"/>
      <c r="B16" s="12"/>
      <c r="C16" s="12"/>
      <c r="D16" s="12"/>
      <c r="E16" s="12"/>
      <c r="F16" s="12"/>
      <c r="G16" s="12"/>
      <c r="I16" s="12"/>
      <c r="J16" s="12"/>
      <c r="K16" s="12"/>
      <c r="L16" s="12"/>
      <c r="M16" s="12"/>
      <c r="N16" s="12"/>
      <c r="O16" s="12"/>
      <c r="Q16" s="12"/>
      <c r="R16" s="12"/>
      <c r="S16" s="12"/>
      <c r="T16" s="12"/>
      <c r="U16" s="12"/>
      <c r="V16" s="12"/>
      <c r="W16" s="12"/>
      <c r="Y16" s="12"/>
      <c r="Z16" s="12"/>
      <c r="AA16" s="12"/>
      <c r="AB16" s="12"/>
      <c r="AC16" s="12"/>
      <c r="AD16" s="12"/>
    </row>
    <row r="17" spans="1:30" x14ac:dyDescent="0.3">
      <c r="A17" s="12"/>
      <c r="B17" s="12"/>
      <c r="C17" s="12"/>
      <c r="D17" s="12"/>
      <c r="E17" s="12"/>
      <c r="F17" s="12"/>
      <c r="G17" s="12"/>
      <c r="I17" s="12"/>
      <c r="J17" s="12"/>
      <c r="K17" s="12"/>
      <c r="L17" s="12"/>
      <c r="M17" s="12"/>
      <c r="N17" s="12"/>
      <c r="O17" s="12"/>
      <c r="Q17" s="12"/>
      <c r="R17" s="12"/>
      <c r="S17" s="12"/>
      <c r="T17" s="12"/>
      <c r="U17" s="12"/>
      <c r="V17" s="12"/>
      <c r="W17" s="12"/>
      <c r="Y17" s="12"/>
      <c r="Z17" s="12"/>
      <c r="AA17" s="12"/>
      <c r="AB17" s="12"/>
      <c r="AC17" s="12"/>
      <c r="AD17" s="12"/>
    </row>
    <row r="18" spans="1:30" x14ac:dyDescent="0.3">
      <c r="A18" s="12"/>
      <c r="B18" s="12"/>
      <c r="C18" s="12"/>
      <c r="D18" s="12"/>
      <c r="E18" s="12"/>
      <c r="F18" s="12"/>
      <c r="G18" s="12"/>
      <c r="I18" s="12"/>
      <c r="J18" s="12"/>
      <c r="K18" s="12"/>
      <c r="L18" s="12"/>
      <c r="M18" s="12"/>
      <c r="N18" s="12"/>
      <c r="O18" s="12"/>
    </row>
    <row r="19" spans="1:30" x14ac:dyDescent="0.3">
      <c r="A19" s="12"/>
      <c r="B19" s="12"/>
      <c r="C19" s="12"/>
      <c r="D19" s="12"/>
      <c r="E19" s="12"/>
      <c r="F19" s="12"/>
      <c r="G19" s="12"/>
      <c r="I19" s="12"/>
      <c r="J19" s="12"/>
      <c r="K19" s="12"/>
      <c r="L19" s="12"/>
      <c r="M19" s="12"/>
      <c r="N19" s="12"/>
      <c r="O19" s="12"/>
      <c r="Q19" s="12"/>
      <c r="R19" s="12"/>
      <c r="S19" s="12"/>
      <c r="T19" s="12"/>
      <c r="U19" s="12"/>
      <c r="V19" s="12"/>
      <c r="W19" s="12"/>
      <c r="Y19" s="12"/>
      <c r="Z19" s="12"/>
      <c r="AA19" s="12"/>
      <c r="AB19" s="12"/>
      <c r="AC19" s="12"/>
      <c r="AD19" s="12"/>
    </row>
    <row r="20" spans="1:30" x14ac:dyDescent="0.3">
      <c r="A20" s="12"/>
      <c r="B20" s="12"/>
      <c r="C20" s="12"/>
      <c r="D20" s="12"/>
      <c r="E20" s="12"/>
      <c r="F20" s="12"/>
      <c r="G20" s="12"/>
      <c r="I20" s="12"/>
      <c r="J20" s="12"/>
      <c r="K20" s="12"/>
      <c r="L20" s="12"/>
      <c r="M20" s="12"/>
      <c r="N20" s="12"/>
      <c r="O20" s="12"/>
      <c r="Q20" s="12"/>
      <c r="R20" s="12"/>
      <c r="S20" s="12"/>
      <c r="T20" s="12"/>
      <c r="U20" s="12"/>
      <c r="V20" s="12"/>
      <c r="W20" s="12"/>
      <c r="Y20" s="12"/>
      <c r="Z20" s="12"/>
      <c r="AA20" s="12"/>
      <c r="AB20" s="12"/>
      <c r="AC20" s="12"/>
      <c r="AD20" s="12"/>
    </row>
    <row r="21" spans="1:30" x14ac:dyDescent="0.3">
      <c r="A21" s="12"/>
      <c r="B21" s="12"/>
      <c r="C21" s="12"/>
      <c r="D21" s="12"/>
      <c r="E21" s="12"/>
      <c r="F21" s="12"/>
      <c r="G21" s="12"/>
      <c r="I21" s="12"/>
      <c r="J21" s="12"/>
      <c r="K21" s="12"/>
      <c r="L21" s="12"/>
      <c r="M21" s="12"/>
      <c r="N21" s="12"/>
      <c r="O21" s="12"/>
      <c r="Q21" s="12"/>
      <c r="R21" s="12"/>
      <c r="S21" s="12"/>
      <c r="T21" s="12"/>
      <c r="U21" s="12"/>
      <c r="V21" s="12"/>
      <c r="W21" s="12"/>
      <c r="Y21" s="12"/>
      <c r="Z21" s="12"/>
      <c r="AA21" s="12"/>
      <c r="AB21" s="12"/>
      <c r="AC21" s="12"/>
      <c r="AD21" s="12"/>
    </row>
    <row r="22" spans="1:30" x14ac:dyDescent="0.3">
      <c r="A22" s="12"/>
      <c r="B22" s="12"/>
      <c r="C22" s="12"/>
      <c r="D22" s="12"/>
      <c r="E22" s="12"/>
      <c r="F22" s="12"/>
      <c r="G22" s="12"/>
      <c r="I22" s="12"/>
      <c r="J22" s="12"/>
      <c r="K22" s="12"/>
      <c r="L22" s="12"/>
      <c r="M22" s="12"/>
      <c r="N22" s="12"/>
      <c r="O22" s="12"/>
      <c r="Q22" s="12"/>
      <c r="R22" s="12"/>
      <c r="S22" s="12"/>
      <c r="T22" s="12"/>
      <c r="U22" s="12"/>
      <c r="V22" s="12"/>
      <c r="W22" s="12"/>
      <c r="Y22" s="12"/>
      <c r="Z22" s="12"/>
      <c r="AA22" s="12"/>
      <c r="AB22" s="12"/>
      <c r="AC22" s="12"/>
      <c r="AD22" s="12"/>
    </row>
    <row r="23" spans="1:30" x14ac:dyDescent="0.3">
      <c r="A23" s="12"/>
      <c r="B23" s="12"/>
      <c r="C23" s="12"/>
      <c r="D23" s="12"/>
      <c r="E23" s="12"/>
      <c r="F23" s="12"/>
      <c r="G23" s="12"/>
      <c r="I23" s="12"/>
      <c r="J23" s="12"/>
      <c r="K23" s="12"/>
      <c r="L23" s="12"/>
      <c r="M23" s="12"/>
      <c r="N23" s="12"/>
      <c r="O23" s="12"/>
      <c r="Q23" s="12"/>
      <c r="R23" s="12"/>
      <c r="S23" s="12"/>
      <c r="T23" s="12"/>
      <c r="U23" s="12"/>
      <c r="V23" s="12"/>
      <c r="W23" s="12"/>
      <c r="Y23" s="12"/>
      <c r="Z23" s="12"/>
      <c r="AA23" s="12"/>
      <c r="AB23" s="12"/>
      <c r="AC23" s="12"/>
      <c r="AD23" s="12"/>
    </row>
    <row r="24" spans="1:30" x14ac:dyDescent="0.3">
      <c r="A24" s="12"/>
      <c r="B24" s="12"/>
      <c r="C24" s="12"/>
      <c r="D24" s="12"/>
      <c r="E24" s="12"/>
      <c r="F24" s="12"/>
      <c r="G24" s="12"/>
      <c r="I24" s="12"/>
      <c r="J24" s="12"/>
      <c r="K24" s="12"/>
      <c r="L24" s="12"/>
      <c r="M24" s="12"/>
      <c r="N24" s="12"/>
      <c r="O24" s="12"/>
      <c r="Q24" s="12"/>
      <c r="R24" s="12"/>
      <c r="S24" s="12"/>
      <c r="T24" s="12"/>
      <c r="U24" s="12"/>
      <c r="V24" s="12"/>
      <c r="W24" s="12"/>
      <c r="Y24" s="12"/>
      <c r="Z24" s="12"/>
      <c r="AA24" s="12"/>
      <c r="AB24" s="12"/>
      <c r="AC24" s="12"/>
      <c r="AD24" s="12"/>
    </row>
    <row r="25" spans="1:30" x14ac:dyDescent="0.3">
      <c r="A25" s="12"/>
      <c r="B25" s="12"/>
      <c r="C25" s="12"/>
      <c r="D25" s="12"/>
      <c r="E25" s="12"/>
      <c r="F25" s="12"/>
      <c r="G25" s="12"/>
      <c r="I25" s="12"/>
      <c r="J25" s="12"/>
      <c r="K25" s="12"/>
      <c r="L25" s="12"/>
      <c r="M25" s="12"/>
      <c r="N25" s="12"/>
      <c r="O25" s="12"/>
      <c r="Q25" s="12"/>
      <c r="R25" s="12"/>
      <c r="S25" s="12"/>
      <c r="T25" s="12"/>
      <c r="U25" s="12"/>
      <c r="V25" s="12"/>
      <c r="W25" s="12"/>
      <c r="Y25" s="12"/>
      <c r="Z25" s="12"/>
      <c r="AA25" s="12"/>
      <c r="AB25" s="12"/>
      <c r="AC25" s="12"/>
      <c r="AD25" s="12"/>
    </row>
    <row r="26" spans="1:30" x14ac:dyDescent="0.3">
      <c r="I26" s="12"/>
      <c r="J26" s="12"/>
      <c r="K26" s="12"/>
      <c r="L26" s="12"/>
      <c r="M26" s="12"/>
      <c r="N26" s="12"/>
      <c r="O26" s="12"/>
      <c r="Q26" s="12"/>
      <c r="R26" s="12"/>
      <c r="S26" s="12"/>
      <c r="T26" s="12"/>
      <c r="U26" s="12"/>
      <c r="V26" s="12"/>
      <c r="W26" s="12"/>
      <c r="Y26" s="12"/>
      <c r="Z26" s="12"/>
      <c r="AA26" s="12"/>
      <c r="AB26" s="12"/>
      <c r="AC26" s="12"/>
      <c r="AD26" s="12"/>
    </row>
    <row r="27" spans="1:30" x14ac:dyDescent="0.3">
      <c r="A27" s="12"/>
      <c r="B27" s="12"/>
      <c r="C27" s="12"/>
      <c r="D27" s="12"/>
      <c r="E27" s="12"/>
      <c r="F27" s="12"/>
      <c r="G27" s="12"/>
      <c r="I27" s="12"/>
      <c r="J27" s="12"/>
      <c r="K27" s="12"/>
      <c r="L27" s="12"/>
      <c r="M27" s="12"/>
      <c r="N27" s="12"/>
      <c r="O27" s="12"/>
      <c r="Q27" s="12"/>
      <c r="R27" s="12"/>
      <c r="S27" s="12"/>
      <c r="T27" s="12"/>
      <c r="U27" s="12"/>
      <c r="V27" s="12"/>
      <c r="W27" s="12"/>
      <c r="Y27" s="12"/>
      <c r="Z27" s="12"/>
      <c r="AA27" s="12"/>
      <c r="AB27" s="12"/>
      <c r="AC27" s="12"/>
      <c r="AD27" s="12"/>
    </row>
    <row r="28" spans="1:30" x14ac:dyDescent="0.3">
      <c r="A28" s="12"/>
      <c r="B28" s="12"/>
      <c r="C28" s="12"/>
      <c r="D28" s="12"/>
      <c r="E28" s="12"/>
      <c r="F28" s="12"/>
      <c r="G28" s="12"/>
      <c r="I28" s="12"/>
      <c r="J28" s="12"/>
      <c r="K28" s="12"/>
      <c r="L28" s="12"/>
      <c r="M28" s="12"/>
      <c r="N28" s="12"/>
      <c r="O28" s="12"/>
      <c r="Q28" s="12"/>
      <c r="R28" s="12"/>
      <c r="S28" s="12"/>
      <c r="T28" s="12"/>
      <c r="U28" s="12"/>
      <c r="V28" s="12"/>
      <c r="W28" s="12"/>
      <c r="Y28" s="12"/>
      <c r="Z28" s="12"/>
      <c r="AA28" s="12"/>
      <c r="AB28" s="12"/>
      <c r="AC28" s="12"/>
      <c r="AD28" s="12"/>
    </row>
    <row r="29" spans="1:30" x14ac:dyDescent="0.3">
      <c r="A29" s="12"/>
      <c r="B29" s="12"/>
      <c r="C29" s="12"/>
      <c r="D29" s="12"/>
      <c r="E29" s="12"/>
      <c r="F29" s="12"/>
      <c r="G29" s="12"/>
      <c r="I29" s="12"/>
      <c r="J29" s="12"/>
      <c r="K29" s="12"/>
      <c r="L29" s="12"/>
      <c r="M29" s="12"/>
      <c r="N29" s="12"/>
      <c r="O29" s="12"/>
      <c r="Q29" s="12"/>
      <c r="R29" s="12"/>
      <c r="S29" s="12"/>
      <c r="T29" s="12"/>
      <c r="U29" s="12"/>
      <c r="V29" s="12"/>
      <c r="W29" s="12"/>
      <c r="Y29" s="12"/>
      <c r="Z29" s="12"/>
      <c r="AA29" s="12"/>
      <c r="AB29" s="12"/>
      <c r="AC29" s="12"/>
      <c r="AD29" s="12"/>
    </row>
    <row r="30" spans="1:30" x14ac:dyDescent="0.3">
      <c r="A30" s="12"/>
      <c r="B30" s="12"/>
      <c r="C30" s="12"/>
      <c r="D30" s="12"/>
      <c r="E30" s="12"/>
      <c r="F30" s="12"/>
      <c r="G30" s="12"/>
      <c r="I30" s="12"/>
      <c r="J30" s="12"/>
      <c r="K30" s="12"/>
      <c r="L30" s="12"/>
      <c r="M30" s="12"/>
      <c r="N30" s="12"/>
      <c r="O30" s="12"/>
      <c r="Q30" s="12"/>
      <c r="R30" s="12"/>
      <c r="S30" s="12"/>
      <c r="T30" s="12"/>
      <c r="U30" s="12"/>
      <c r="V30" s="12"/>
      <c r="W30" s="12"/>
      <c r="Y30" s="12"/>
      <c r="Z30" s="12"/>
      <c r="AA30" s="12"/>
      <c r="AB30" s="12"/>
      <c r="AC30" s="12"/>
      <c r="AD30" s="12"/>
    </row>
    <row r="31" spans="1:30" x14ac:dyDescent="0.3">
      <c r="A31" s="12"/>
      <c r="B31" s="12"/>
      <c r="C31" s="12"/>
      <c r="D31" s="12"/>
      <c r="E31" s="12"/>
      <c r="F31" s="12"/>
      <c r="G31" s="12"/>
      <c r="I31" s="12"/>
      <c r="J31" s="12"/>
      <c r="K31" s="12"/>
      <c r="L31" s="12"/>
      <c r="M31" s="12"/>
      <c r="N31" s="12"/>
      <c r="O31" s="12"/>
      <c r="Q31" s="12"/>
      <c r="R31" s="12"/>
      <c r="S31" s="12"/>
      <c r="T31" s="12"/>
      <c r="U31" s="12"/>
      <c r="V31" s="12"/>
      <c r="W31" s="12"/>
      <c r="Y31" s="12"/>
      <c r="Z31" s="12"/>
      <c r="AA31" s="12"/>
      <c r="AB31" s="12"/>
      <c r="AC31" s="12"/>
      <c r="AD31" s="12"/>
    </row>
    <row r="32" spans="1:30" x14ac:dyDescent="0.3">
      <c r="A32" s="12"/>
      <c r="B32" s="12"/>
      <c r="C32" s="12"/>
      <c r="D32" s="12"/>
      <c r="E32" s="12"/>
      <c r="F32" s="12"/>
      <c r="G32" s="12"/>
      <c r="I32" s="12"/>
      <c r="J32" s="12"/>
      <c r="K32" s="12"/>
      <c r="L32" s="12"/>
      <c r="M32" s="12"/>
      <c r="N32" s="12"/>
      <c r="O32" s="12"/>
      <c r="Q32" s="12"/>
      <c r="R32" s="12"/>
      <c r="S32" s="12"/>
      <c r="T32" s="12"/>
      <c r="U32" s="12"/>
      <c r="V32" s="12"/>
      <c r="W32" s="12"/>
      <c r="Y32" s="12"/>
      <c r="Z32" s="12"/>
      <c r="AA32" s="12"/>
      <c r="AB32" s="12"/>
      <c r="AC32" s="12"/>
      <c r="AD32" s="12"/>
    </row>
    <row r="33" spans="1:15" x14ac:dyDescent="0.3">
      <c r="A33" s="12"/>
      <c r="B33" s="12"/>
      <c r="C33" s="12"/>
      <c r="D33" s="12"/>
      <c r="E33" s="12"/>
      <c r="F33" s="12"/>
      <c r="G33" s="12"/>
      <c r="I33" s="12"/>
      <c r="J33" s="12"/>
      <c r="K33" s="12"/>
      <c r="L33" s="12"/>
      <c r="M33" s="12"/>
      <c r="N33" s="12"/>
      <c r="O33" s="12"/>
    </row>
    <row r="34" spans="1:15" x14ac:dyDescent="0.3">
      <c r="A34" s="12"/>
      <c r="B34" s="12"/>
      <c r="C34" s="12"/>
      <c r="D34" s="12"/>
      <c r="E34" s="12"/>
      <c r="F34" s="12"/>
      <c r="G34" s="12"/>
      <c r="I34" s="12"/>
      <c r="J34" s="12"/>
      <c r="K34" s="12"/>
      <c r="L34" s="12"/>
      <c r="M34" s="12"/>
      <c r="N34" s="12"/>
      <c r="O34" s="12"/>
    </row>
    <row r="35" spans="1:15" x14ac:dyDescent="0.3">
      <c r="A35" s="12"/>
      <c r="B35" s="12"/>
      <c r="C35" s="12"/>
      <c r="D35" s="12"/>
      <c r="E35" s="12"/>
      <c r="F35" s="12"/>
      <c r="G35" s="12"/>
      <c r="I35" s="12"/>
      <c r="J35" s="12"/>
      <c r="K35" s="12"/>
      <c r="L35" s="12"/>
      <c r="M35" s="12"/>
      <c r="N35" s="12"/>
      <c r="O35" s="12"/>
    </row>
    <row r="36" spans="1:15" x14ac:dyDescent="0.3">
      <c r="A36" s="12"/>
      <c r="B36" s="12"/>
      <c r="C36" s="12"/>
      <c r="D36" s="12"/>
      <c r="E36" s="12"/>
      <c r="F36" s="12"/>
      <c r="G36" s="12"/>
      <c r="I36" s="12"/>
      <c r="J36" s="12"/>
      <c r="K36" s="12"/>
      <c r="L36" s="12"/>
      <c r="M36" s="12"/>
      <c r="N36" s="12"/>
      <c r="O36" s="12"/>
    </row>
    <row r="37" spans="1:15" x14ac:dyDescent="0.3">
      <c r="A37" s="12"/>
      <c r="B37" s="12"/>
      <c r="C37" s="12"/>
      <c r="D37" s="12"/>
      <c r="E37" s="12"/>
      <c r="F37" s="12"/>
      <c r="G37" s="12"/>
    </row>
    <row r="38" spans="1:15" x14ac:dyDescent="0.3">
      <c r="A38" s="12"/>
      <c r="B38" s="12"/>
      <c r="C38" s="12"/>
      <c r="D38" s="12"/>
      <c r="E38" s="12"/>
      <c r="F38" s="12"/>
      <c r="G38" s="12"/>
    </row>
    <row r="39" spans="1:15" x14ac:dyDescent="0.3">
      <c r="A39" s="12"/>
      <c r="B39" s="12"/>
      <c r="C39" s="12"/>
      <c r="D39" s="12"/>
      <c r="E39" s="12"/>
      <c r="F39" s="12"/>
      <c r="G39" s="12"/>
    </row>
    <row r="40" spans="1:15" x14ac:dyDescent="0.3">
      <c r="A40" s="12"/>
      <c r="B40" s="12"/>
      <c r="C40" s="12"/>
      <c r="D40" s="12"/>
      <c r="E40" s="12"/>
      <c r="F40" s="12"/>
      <c r="G40" s="12"/>
    </row>
    <row r="41" spans="1:15" x14ac:dyDescent="0.3">
      <c r="A41" s="12"/>
      <c r="B41" s="12"/>
      <c r="C41" s="12"/>
      <c r="D41" s="12"/>
      <c r="E41" s="12"/>
      <c r="F41" s="12"/>
      <c r="G41" s="12"/>
    </row>
  </sheetData>
  <mergeCells count="5">
    <mergeCell ref="T4:W7"/>
    <mergeCell ref="T9:W12"/>
    <mergeCell ref="A1:AD2"/>
    <mergeCell ref="L4:O7"/>
    <mergeCell ref="L9:O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N1201"/>
  <sheetViews>
    <sheetView workbookViewId="0">
      <selection activeCell="C5" sqref="C5"/>
    </sheetView>
  </sheetViews>
  <sheetFormatPr defaultRowHeight="14.4" x14ac:dyDescent="0.3"/>
  <cols>
    <col min="1" max="1" width="12.77734375" customWidth="1"/>
    <col min="2" max="2" width="15.5546875" style="3" customWidth="1"/>
    <col min="3" max="3" width="13.33203125" customWidth="1"/>
    <col min="7" max="7" width="15.33203125" customWidth="1"/>
    <col min="8" max="9" width="13.109375" customWidth="1"/>
    <col min="10" max="10" width="16.33203125" customWidth="1"/>
    <col min="11" max="11" width="12.5546875" customWidth="1"/>
    <col min="12" max="12" width="12.109375" customWidth="1"/>
    <col min="13" max="13" width="14.6640625" customWidth="1"/>
    <col min="14" max="14" width="10.44140625" customWidth="1"/>
  </cols>
  <sheetData>
    <row r="1" spans="1:14" x14ac:dyDescent="0.3">
      <c r="A1" s="1" t="s">
        <v>0</v>
      </c>
      <c r="B1" s="2"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3">
        <v>44930</v>
      </c>
      <c r="C2" t="s">
        <v>1214</v>
      </c>
      <c r="D2" t="s">
        <v>2403</v>
      </c>
      <c r="E2">
        <v>5</v>
      </c>
      <c r="F2">
        <v>570.62</v>
      </c>
      <c r="G2" t="s">
        <v>2410</v>
      </c>
      <c r="H2" t="s">
        <v>3065</v>
      </c>
      <c r="I2" t="s">
        <v>3070</v>
      </c>
      <c r="J2" t="s">
        <v>3075</v>
      </c>
      <c r="K2">
        <v>7</v>
      </c>
      <c r="L2" t="s">
        <v>4275</v>
      </c>
      <c r="M2" t="s">
        <v>4278</v>
      </c>
      <c r="N2">
        <v>2853.1</v>
      </c>
    </row>
    <row r="3" spans="1:14" x14ac:dyDescent="0.3">
      <c r="A3" t="s">
        <v>15</v>
      </c>
      <c r="B3" s="3">
        <v>45527</v>
      </c>
      <c r="C3" t="s">
        <v>1215</v>
      </c>
      <c r="D3" t="s">
        <v>2404</v>
      </c>
      <c r="E3">
        <v>2</v>
      </c>
      <c r="F3">
        <v>151.35</v>
      </c>
      <c r="G3" t="s">
        <v>2411</v>
      </c>
      <c r="H3" t="s">
        <v>3066</v>
      </c>
      <c r="I3" t="s">
        <v>3070</v>
      </c>
      <c r="J3" t="s">
        <v>3076</v>
      </c>
      <c r="K3">
        <v>3</v>
      </c>
      <c r="L3" t="s">
        <v>4275</v>
      </c>
      <c r="M3" t="s">
        <v>4279</v>
      </c>
      <c r="N3">
        <v>302.7</v>
      </c>
    </row>
    <row r="4" spans="1:14" x14ac:dyDescent="0.3">
      <c r="A4" t="s">
        <v>16</v>
      </c>
      <c r="B4" s="3">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3">
        <v>45214</v>
      </c>
      <c r="C5" t="s">
        <v>1217</v>
      </c>
      <c r="D5" t="s">
        <v>2406</v>
      </c>
      <c r="E5">
        <v>1</v>
      </c>
      <c r="F5">
        <v>273.19</v>
      </c>
      <c r="G5" t="s">
        <v>2413</v>
      </c>
      <c r="H5" t="s">
        <v>3065</v>
      </c>
      <c r="I5" t="s">
        <v>3072</v>
      </c>
      <c r="J5" t="s">
        <v>3078</v>
      </c>
      <c r="K5">
        <v>5</v>
      </c>
      <c r="L5" t="s">
        <v>4275</v>
      </c>
      <c r="M5" t="s">
        <v>4281</v>
      </c>
      <c r="N5">
        <v>273.19</v>
      </c>
    </row>
    <row r="6" spans="1:14" x14ac:dyDescent="0.3">
      <c r="A6" t="s">
        <v>18</v>
      </c>
      <c r="B6" s="3">
        <v>45785</v>
      </c>
      <c r="C6" t="s">
        <v>1218</v>
      </c>
      <c r="D6" t="s">
        <v>2407</v>
      </c>
      <c r="E6">
        <v>4</v>
      </c>
      <c r="F6">
        <v>626.01</v>
      </c>
      <c r="G6" t="s">
        <v>2414</v>
      </c>
      <c r="H6" t="s">
        <v>3066</v>
      </c>
      <c r="I6" t="s">
        <v>3073</v>
      </c>
      <c r="J6" t="s">
        <v>3079</v>
      </c>
      <c r="K6">
        <v>8</v>
      </c>
      <c r="L6" t="s">
        <v>4275</v>
      </c>
      <c r="M6" t="s">
        <v>4280</v>
      </c>
      <c r="N6">
        <v>2504.04</v>
      </c>
    </row>
    <row r="7" spans="1:14" x14ac:dyDescent="0.3">
      <c r="A7" t="s">
        <v>19</v>
      </c>
      <c r="B7" s="3">
        <v>45222</v>
      </c>
      <c r="C7" t="s">
        <v>1219</v>
      </c>
      <c r="D7" t="s">
        <v>2404</v>
      </c>
      <c r="E7">
        <v>2</v>
      </c>
      <c r="F7">
        <v>245.86</v>
      </c>
      <c r="G7" t="s">
        <v>2415</v>
      </c>
      <c r="H7" t="s">
        <v>3067</v>
      </c>
      <c r="I7" t="s">
        <v>3070</v>
      </c>
      <c r="J7" t="s">
        <v>3080</v>
      </c>
      <c r="K7">
        <v>4</v>
      </c>
      <c r="L7" t="s">
        <v>4275</v>
      </c>
      <c r="M7" t="s">
        <v>4278</v>
      </c>
      <c r="N7">
        <v>491.72</v>
      </c>
    </row>
    <row r="8" spans="1:14" x14ac:dyDescent="0.3">
      <c r="A8" t="s">
        <v>20</v>
      </c>
      <c r="B8" s="3">
        <v>45825</v>
      </c>
      <c r="C8" t="s">
        <v>1220</v>
      </c>
      <c r="D8" t="s">
        <v>2408</v>
      </c>
      <c r="E8">
        <v>1</v>
      </c>
      <c r="F8">
        <v>664.42</v>
      </c>
      <c r="G8" t="s">
        <v>2416</v>
      </c>
      <c r="H8" t="s">
        <v>3068</v>
      </c>
      <c r="I8" t="s">
        <v>3072</v>
      </c>
      <c r="J8" t="s">
        <v>3081</v>
      </c>
      <c r="K8">
        <v>6</v>
      </c>
      <c r="L8" t="s">
        <v>4275</v>
      </c>
      <c r="M8" t="s">
        <v>4281</v>
      </c>
      <c r="N8">
        <v>664.42</v>
      </c>
    </row>
    <row r="9" spans="1:14" x14ac:dyDescent="0.3">
      <c r="A9" t="s">
        <v>21</v>
      </c>
      <c r="B9" s="3">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3">
        <v>45749</v>
      </c>
      <c r="C10" t="s">
        <v>1222</v>
      </c>
      <c r="D10" t="s">
        <v>2404</v>
      </c>
      <c r="E10">
        <v>2</v>
      </c>
      <c r="F10">
        <v>134.28</v>
      </c>
      <c r="G10" t="s">
        <v>2418</v>
      </c>
      <c r="H10" t="s">
        <v>3068</v>
      </c>
      <c r="I10" t="s">
        <v>3071</v>
      </c>
      <c r="J10" t="s">
        <v>3083</v>
      </c>
      <c r="K10">
        <v>2</v>
      </c>
      <c r="L10" t="s">
        <v>4283</v>
      </c>
      <c r="M10" t="s">
        <v>4280</v>
      </c>
      <c r="N10">
        <v>268.56</v>
      </c>
    </row>
    <row r="11" spans="1:14" x14ac:dyDescent="0.3">
      <c r="A11" t="s">
        <v>23</v>
      </c>
      <c r="B11" s="3">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3">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3">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3">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3">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3">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3">
        <v>45124</v>
      </c>
      <c r="C17" t="s">
        <v>1229</v>
      </c>
      <c r="D17" t="s">
        <v>2407</v>
      </c>
      <c r="E17">
        <v>1</v>
      </c>
      <c r="F17">
        <v>473.96</v>
      </c>
      <c r="G17" t="s">
        <v>2425</v>
      </c>
      <c r="H17" t="s">
        <v>3069</v>
      </c>
      <c r="I17" t="s">
        <v>3073</v>
      </c>
      <c r="J17" t="s">
        <v>3090</v>
      </c>
      <c r="K17">
        <v>3</v>
      </c>
      <c r="L17" t="s">
        <v>4283</v>
      </c>
      <c r="M17" t="s">
        <v>4282</v>
      </c>
      <c r="N17">
        <v>473.96</v>
      </c>
    </row>
    <row r="18" spans="1:14" x14ac:dyDescent="0.3">
      <c r="A18" t="s">
        <v>30</v>
      </c>
      <c r="B18" s="3">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3">
        <v>45353</v>
      </c>
      <c r="C19" t="s">
        <v>1231</v>
      </c>
      <c r="D19" t="s">
        <v>2405</v>
      </c>
      <c r="E19">
        <v>1</v>
      </c>
      <c r="F19">
        <v>423.4</v>
      </c>
      <c r="G19" t="s">
        <v>2427</v>
      </c>
      <c r="H19" t="s">
        <v>3065</v>
      </c>
      <c r="I19" t="s">
        <v>3070</v>
      </c>
      <c r="J19" t="s">
        <v>3092</v>
      </c>
      <c r="K19">
        <v>3</v>
      </c>
      <c r="L19" t="s">
        <v>4283</v>
      </c>
      <c r="M19" t="s">
        <v>4279</v>
      </c>
      <c r="N19">
        <v>423.4</v>
      </c>
    </row>
    <row r="20" spans="1:14" x14ac:dyDescent="0.3">
      <c r="A20" t="s">
        <v>32</v>
      </c>
      <c r="B20" s="3">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3">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3">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3">
        <v>45613</v>
      </c>
      <c r="C23" t="s">
        <v>1235</v>
      </c>
      <c r="D23" t="s">
        <v>2403</v>
      </c>
      <c r="E23">
        <v>4</v>
      </c>
      <c r="F23">
        <v>342.95</v>
      </c>
      <c r="G23" t="s">
        <v>2431</v>
      </c>
      <c r="H23" t="s">
        <v>3069</v>
      </c>
      <c r="I23" t="s">
        <v>3073</v>
      </c>
      <c r="J23" t="s">
        <v>3096</v>
      </c>
      <c r="K23">
        <v>6</v>
      </c>
      <c r="L23" t="s">
        <v>4283</v>
      </c>
      <c r="M23" t="s">
        <v>4282</v>
      </c>
      <c r="N23">
        <v>1371.8</v>
      </c>
    </row>
    <row r="24" spans="1:14" x14ac:dyDescent="0.3">
      <c r="A24" t="s">
        <v>36</v>
      </c>
      <c r="B24" s="3">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3">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3">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3">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3">
        <v>45357</v>
      </c>
      <c r="C28" t="s">
        <v>1240</v>
      </c>
      <c r="D28" t="s">
        <v>2408</v>
      </c>
      <c r="E28">
        <v>5</v>
      </c>
      <c r="F28">
        <v>59.55</v>
      </c>
      <c r="G28" t="s">
        <v>2436</v>
      </c>
      <c r="H28" t="s">
        <v>3066</v>
      </c>
      <c r="I28" t="s">
        <v>3073</v>
      </c>
      <c r="J28" t="s">
        <v>3101</v>
      </c>
      <c r="K28">
        <v>6</v>
      </c>
      <c r="L28" t="s">
        <v>4283</v>
      </c>
      <c r="M28" t="s">
        <v>4279</v>
      </c>
      <c r="N28">
        <v>297.75</v>
      </c>
    </row>
    <row r="29" spans="1:14" x14ac:dyDescent="0.3">
      <c r="A29" t="s">
        <v>41</v>
      </c>
      <c r="B29" s="3">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3">
        <v>45251</v>
      </c>
      <c r="C30" t="s">
        <v>1242</v>
      </c>
      <c r="D30" t="s">
        <v>2404</v>
      </c>
      <c r="E30">
        <v>4</v>
      </c>
      <c r="F30">
        <v>160.07</v>
      </c>
      <c r="G30" t="s">
        <v>2438</v>
      </c>
      <c r="H30" t="s">
        <v>3066</v>
      </c>
      <c r="I30" t="s">
        <v>3074</v>
      </c>
      <c r="J30" t="s">
        <v>3103</v>
      </c>
      <c r="K30">
        <v>5</v>
      </c>
      <c r="L30" t="s">
        <v>4283</v>
      </c>
      <c r="M30" t="s">
        <v>4280</v>
      </c>
      <c r="N30">
        <v>640.28</v>
      </c>
    </row>
    <row r="31" spans="1:14" x14ac:dyDescent="0.3">
      <c r="A31" t="s">
        <v>43</v>
      </c>
      <c r="B31" s="3">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3">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3">
        <v>45107</v>
      </c>
      <c r="C33" t="s">
        <v>1245</v>
      </c>
      <c r="D33" t="s">
        <v>2406</v>
      </c>
      <c r="E33">
        <v>3</v>
      </c>
      <c r="F33">
        <v>500.08</v>
      </c>
      <c r="G33" t="s">
        <v>2441</v>
      </c>
      <c r="H33" t="s">
        <v>3065</v>
      </c>
      <c r="I33" t="s">
        <v>3072</v>
      </c>
      <c r="J33" t="s">
        <v>3106</v>
      </c>
      <c r="K33">
        <v>6</v>
      </c>
      <c r="L33" t="s">
        <v>4283</v>
      </c>
      <c r="M33" t="s">
        <v>4281</v>
      </c>
      <c r="N33">
        <v>1500.24</v>
      </c>
    </row>
    <row r="34" spans="1:14" x14ac:dyDescent="0.3">
      <c r="A34" t="s">
        <v>46</v>
      </c>
      <c r="B34" s="3">
        <v>45047</v>
      </c>
      <c r="C34" t="s">
        <v>1246</v>
      </c>
      <c r="D34" t="s">
        <v>2405</v>
      </c>
      <c r="E34">
        <v>5</v>
      </c>
      <c r="F34">
        <v>536.72</v>
      </c>
      <c r="G34" t="s">
        <v>2442</v>
      </c>
      <c r="H34" t="s">
        <v>3069</v>
      </c>
      <c r="I34" t="s">
        <v>3073</v>
      </c>
      <c r="J34" t="s">
        <v>3107</v>
      </c>
      <c r="K34">
        <v>10</v>
      </c>
      <c r="L34" t="s">
        <v>4283</v>
      </c>
      <c r="M34" t="s">
        <v>4280</v>
      </c>
      <c r="N34">
        <v>2683.6</v>
      </c>
    </row>
    <row r="35" spans="1:14" x14ac:dyDescent="0.3">
      <c r="A35" t="s">
        <v>47</v>
      </c>
      <c r="B35" s="3">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3">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3">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3">
        <v>45785</v>
      </c>
      <c r="C38" t="s">
        <v>1250</v>
      </c>
      <c r="D38" t="s">
        <v>2408</v>
      </c>
      <c r="E38">
        <v>2</v>
      </c>
      <c r="F38">
        <v>534.42999999999995</v>
      </c>
      <c r="G38" t="s">
        <v>2446</v>
      </c>
      <c r="H38" t="s">
        <v>3065</v>
      </c>
      <c r="I38" t="s">
        <v>3074</v>
      </c>
      <c r="J38" t="s">
        <v>3111</v>
      </c>
      <c r="K38">
        <v>5</v>
      </c>
      <c r="L38" t="s">
        <v>4283</v>
      </c>
      <c r="M38" t="s">
        <v>4281</v>
      </c>
      <c r="N38">
        <v>1068.8599999999999</v>
      </c>
    </row>
    <row r="39" spans="1:14" x14ac:dyDescent="0.3">
      <c r="A39" t="s">
        <v>51</v>
      </c>
      <c r="B39" s="3">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3">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3">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3">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3">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3">
        <v>45418</v>
      </c>
      <c r="C44" t="s">
        <v>1256</v>
      </c>
      <c r="D44" t="s">
        <v>2407</v>
      </c>
      <c r="E44">
        <v>2</v>
      </c>
      <c r="F44">
        <v>151.66</v>
      </c>
      <c r="G44" t="s">
        <v>2424</v>
      </c>
      <c r="H44" t="s">
        <v>3069</v>
      </c>
      <c r="I44" t="s">
        <v>3071</v>
      </c>
      <c r="J44" t="s">
        <v>3117</v>
      </c>
      <c r="K44">
        <v>6</v>
      </c>
      <c r="L44" t="s">
        <v>4283</v>
      </c>
      <c r="M44" t="s">
        <v>4278</v>
      </c>
      <c r="N44">
        <v>303.32</v>
      </c>
    </row>
    <row r="45" spans="1:14" x14ac:dyDescent="0.3">
      <c r="A45" t="s">
        <v>57</v>
      </c>
      <c r="B45" s="3">
        <v>45274</v>
      </c>
      <c r="C45" t="s">
        <v>1257</v>
      </c>
      <c r="D45" t="s">
        <v>2406</v>
      </c>
      <c r="E45">
        <v>3</v>
      </c>
      <c r="F45">
        <v>499.21</v>
      </c>
      <c r="G45" t="s">
        <v>2452</v>
      </c>
      <c r="H45" t="s">
        <v>3066</v>
      </c>
      <c r="I45" t="s">
        <v>3071</v>
      </c>
      <c r="J45" t="s">
        <v>3118</v>
      </c>
      <c r="K45">
        <v>8</v>
      </c>
      <c r="L45" t="s">
        <v>4283</v>
      </c>
      <c r="M45" t="s">
        <v>4278</v>
      </c>
      <c r="N45">
        <v>1497.63</v>
      </c>
    </row>
    <row r="46" spans="1:14" x14ac:dyDescent="0.3">
      <c r="A46" t="s">
        <v>58</v>
      </c>
      <c r="B46" s="3">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3">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3">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3">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3">
        <v>45164</v>
      </c>
      <c r="C50" t="s">
        <v>1262</v>
      </c>
      <c r="D50" t="s">
        <v>2403</v>
      </c>
      <c r="E50">
        <v>2</v>
      </c>
      <c r="F50">
        <v>80.77</v>
      </c>
      <c r="G50" t="s">
        <v>2456</v>
      </c>
      <c r="H50" t="s">
        <v>3065</v>
      </c>
      <c r="I50" t="s">
        <v>3070</v>
      </c>
      <c r="J50" t="s">
        <v>3123</v>
      </c>
      <c r="K50">
        <v>4</v>
      </c>
      <c r="L50" t="s">
        <v>4283</v>
      </c>
      <c r="M50" t="s">
        <v>4282</v>
      </c>
      <c r="N50">
        <v>161.54</v>
      </c>
    </row>
    <row r="51" spans="1:14" x14ac:dyDescent="0.3">
      <c r="A51" t="s">
        <v>63</v>
      </c>
      <c r="B51" s="3">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3">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3">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3">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3">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3">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3">
        <v>45832</v>
      </c>
      <c r="C57" t="s">
        <v>1269</v>
      </c>
      <c r="D57" t="s">
        <v>2407</v>
      </c>
      <c r="E57">
        <v>3</v>
      </c>
      <c r="F57">
        <v>344.4</v>
      </c>
      <c r="G57" t="s">
        <v>2461</v>
      </c>
      <c r="H57" t="s">
        <v>3066</v>
      </c>
      <c r="I57" t="s">
        <v>3071</v>
      </c>
      <c r="J57" t="s">
        <v>3130</v>
      </c>
      <c r="K57">
        <v>3</v>
      </c>
      <c r="L57" t="s">
        <v>4283</v>
      </c>
      <c r="M57" t="s">
        <v>4281</v>
      </c>
      <c r="N57">
        <v>1033.2</v>
      </c>
    </row>
    <row r="58" spans="1:14" x14ac:dyDescent="0.3">
      <c r="A58" t="s">
        <v>70</v>
      </c>
      <c r="B58" s="3">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3">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3">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3">
        <v>45546</v>
      </c>
      <c r="C61" t="s">
        <v>1273</v>
      </c>
      <c r="D61" t="s">
        <v>2406</v>
      </c>
      <c r="E61">
        <v>4</v>
      </c>
      <c r="F61">
        <v>593.27</v>
      </c>
      <c r="G61" t="s">
        <v>2465</v>
      </c>
      <c r="H61" t="s">
        <v>3066</v>
      </c>
      <c r="I61" t="s">
        <v>3070</v>
      </c>
      <c r="J61" t="s">
        <v>3134</v>
      </c>
      <c r="K61">
        <v>5</v>
      </c>
      <c r="L61" t="s">
        <v>4283</v>
      </c>
      <c r="M61" t="s">
        <v>4281</v>
      </c>
      <c r="N61">
        <v>2373.08</v>
      </c>
    </row>
    <row r="62" spans="1:14" x14ac:dyDescent="0.3">
      <c r="A62" t="s">
        <v>74</v>
      </c>
      <c r="B62" s="3">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3">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3">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3">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3">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3">
        <v>45290</v>
      </c>
      <c r="C67" t="s">
        <v>1279</v>
      </c>
      <c r="D67" t="s">
        <v>2403</v>
      </c>
      <c r="E67">
        <v>5</v>
      </c>
      <c r="F67">
        <v>81.7</v>
      </c>
      <c r="G67" t="s">
        <v>2471</v>
      </c>
      <c r="H67" t="s">
        <v>3067</v>
      </c>
      <c r="I67" t="s">
        <v>3073</v>
      </c>
      <c r="J67" t="s">
        <v>3140</v>
      </c>
      <c r="K67">
        <v>6</v>
      </c>
      <c r="L67" t="s">
        <v>4283</v>
      </c>
      <c r="M67" t="s">
        <v>4278</v>
      </c>
      <c r="N67">
        <v>408.5</v>
      </c>
    </row>
    <row r="68" spans="1:14" x14ac:dyDescent="0.3">
      <c r="A68" t="s">
        <v>80</v>
      </c>
      <c r="B68" s="3">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3">
        <v>45635</v>
      </c>
      <c r="C69" t="s">
        <v>1281</v>
      </c>
      <c r="D69" t="s">
        <v>2407</v>
      </c>
      <c r="E69">
        <v>4</v>
      </c>
      <c r="F69">
        <v>12.1</v>
      </c>
      <c r="G69" t="s">
        <v>2473</v>
      </c>
      <c r="H69" t="s">
        <v>3065</v>
      </c>
      <c r="I69" t="s">
        <v>3071</v>
      </c>
      <c r="J69" t="s">
        <v>3142</v>
      </c>
      <c r="K69">
        <v>8</v>
      </c>
      <c r="L69" t="s">
        <v>4283</v>
      </c>
      <c r="M69" t="s">
        <v>4282</v>
      </c>
      <c r="N69">
        <v>48.4</v>
      </c>
    </row>
    <row r="70" spans="1:14" x14ac:dyDescent="0.3">
      <c r="A70" t="s">
        <v>82</v>
      </c>
      <c r="B70" s="3">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3">
        <v>45057</v>
      </c>
      <c r="C71" t="s">
        <v>1283</v>
      </c>
      <c r="D71" t="s">
        <v>2403</v>
      </c>
      <c r="E71">
        <v>3</v>
      </c>
      <c r="F71">
        <v>478.65</v>
      </c>
      <c r="G71" t="s">
        <v>2474</v>
      </c>
      <c r="H71" t="s">
        <v>3066</v>
      </c>
      <c r="I71" t="s">
        <v>3070</v>
      </c>
      <c r="J71" t="s">
        <v>3144</v>
      </c>
      <c r="K71">
        <v>4</v>
      </c>
      <c r="L71" t="s">
        <v>4283</v>
      </c>
      <c r="M71" t="s">
        <v>4279</v>
      </c>
      <c r="N71">
        <v>1435.95</v>
      </c>
    </row>
    <row r="72" spans="1:14" x14ac:dyDescent="0.3">
      <c r="A72" t="s">
        <v>84</v>
      </c>
      <c r="B72" s="3">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3">
        <v>45818</v>
      </c>
      <c r="C73" t="s">
        <v>1285</v>
      </c>
      <c r="D73" t="s">
        <v>2403</v>
      </c>
      <c r="E73">
        <v>3</v>
      </c>
      <c r="F73">
        <v>434.45</v>
      </c>
      <c r="G73" t="s">
        <v>2476</v>
      </c>
      <c r="H73" t="s">
        <v>3067</v>
      </c>
      <c r="I73" t="s">
        <v>3074</v>
      </c>
      <c r="J73" t="s">
        <v>3146</v>
      </c>
      <c r="K73">
        <v>4</v>
      </c>
      <c r="L73" t="s">
        <v>4283</v>
      </c>
      <c r="M73" t="s">
        <v>4279</v>
      </c>
      <c r="N73">
        <v>1303.3499999999999</v>
      </c>
    </row>
    <row r="74" spans="1:14" x14ac:dyDescent="0.3">
      <c r="A74" t="s">
        <v>86</v>
      </c>
      <c r="B74" s="3">
        <v>45648</v>
      </c>
      <c r="C74" t="s">
        <v>1286</v>
      </c>
      <c r="D74" t="s">
        <v>2405</v>
      </c>
      <c r="E74">
        <v>4</v>
      </c>
      <c r="F74">
        <v>589.44000000000005</v>
      </c>
      <c r="G74" t="s">
        <v>2425</v>
      </c>
      <c r="H74" t="s">
        <v>3068</v>
      </c>
      <c r="I74" t="s">
        <v>3072</v>
      </c>
      <c r="J74" t="s">
        <v>3147</v>
      </c>
      <c r="K74">
        <v>5</v>
      </c>
      <c r="L74" t="s">
        <v>4283</v>
      </c>
      <c r="M74" t="s">
        <v>4281</v>
      </c>
      <c r="N74">
        <v>2357.7600000000002</v>
      </c>
    </row>
    <row r="75" spans="1:14" x14ac:dyDescent="0.3">
      <c r="A75" t="s">
        <v>87</v>
      </c>
      <c r="B75" s="3">
        <v>45049</v>
      </c>
      <c r="C75" t="s">
        <v>1287</v>
      </c>
      <c r="D75" t="s">
        <v>2403</v>
      </c>
      <c r="E75">
        <v>4</v>
      </c>
      <c r="F75">
        <v>433.45</v>
      </c>
      <c r="G75" t="s">
        <v>2477</v>
      </c>
      <c r="H75" t="s">
        <v>3068</v>
      </c>
      <c r="I75" t="s">
        <v>3071</v>
      </c>
      <c r="J75" t="s">
        <v>3148</v>
      </c>
      <c r="K75">
        <v>4</v>
      </c>
      <c r="L75" t="s">
        <v>4283</v>
      </c>
      <c r="M75" t="s">
        <v>4281</v>
      </c>
      <c r="N75">
        <v>1733.8</v>
      </c>
    </row>
    <row r="76" spans="1:14" x14ac:dyDescent="0.3">
      <c r="A76" t="s">
        <v>88</v>
      </c>
      <c r="B76" s="3">
        <v>45101</v>
      </c>
      <c r="C76" t="s">
        <v>1288</v>
      </c>
      <c r="D76" t="s">
        <v>2404</v>
      </c>
      <c r="E76">
        <v>5</v>
      </c>
      <c r="F76">
        <v>90.87</v>
      </c>
      <c r="G76" t="s">
        <v>2478</v>
      </c>
      <c r="H76" t="s">
        <v>3069</v>
      </c>
      <c r="I76" t="s">
        <v>3074</v>
      </c>
      <c r="J76" t="s">
        <v>3149</v>
      </c>
      <c r="K76">
        <v>5</v>
      </c>
      <c r="L76" t="s">
        <v>4283</v>
      </c>
      <c r="M76" t="s">
        <v>4278</v>
      </c>
      <c r="N76">
        <v>454.35</v>
      </c>
    </row>
    <row r="77" spans="1:14" x14ac:dyDescent="0.3">
      <c r="A77" t="s">
        <v>89</v>
      </c>
      <c r="B77" s="3">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3">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3">
        <v>45436</v>
      </c>
      <c r="C79" t="s">
        <v>1291</v>
      </c>
      <c r="D79" t="s">
        <v>2404</v>
      </c>
      <c r="E79">
        <v>1</v>
      </c>
      <c r="F79">
        <v>583.17999999999995</v>
      </c>
      <c r="G79" t="s">
        <v>2481</v>
      </c>
      <c r="H79" t="s">
        <v>3067</v>
      </c>
      <c r="I79" t="s">
        <v>3072</v>
      </c>
      <c r="J79" t="s">
        <v>3152</v>
      </c>
      <c r="K79">
        <v>5</v>
      </c>
      <c r="L79" t="s">
        <v>4283</v>
      </c>
      <c r="M79" t="s">
        <v>4282</v>
      </c>
      <c r="N79">
        <v>583.17999999999995</v>
      </c>
    </row>
    <row r="80" spans="1:14" x14ac:dyDescent="0.3">
      <c r="A80" t="s">
        <v>92</v>
      </c>
      <c r="B80" s="3">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3">
        <v>45726</v>
      </c>
      <c r="C81" t="s">
        <v>1293</v>
      </c>
      <c r="D81" t="s">
        <v>2405</v>
      </c>
      <c r="E81">
        <v>2</v>
      </c>
      <c r="F81">
        <v>311.91000000000003</v>
      </c>
      <c r="G81" t="s">
        <v>2483</v>
      </c>
      <c r="H81" t="s">
        <v>3066</v>
      </c>
      <c r="I81" t="s">
        <v>3070</v>
      </c>
      <c r="J81" t="s">
        <v>3154</v>
      </c>
      <c r="K81">
        <v>2</v>
      </c>
      <c r="L81" t="s">
        <v>4283</v>
      </c>
      <c r="M81" t="s">
        <v>4281</v>
      </c>
      <c r="N81">
        <v>623.82000000000005</v>
      </c>
    </row>
    <row r="82" spans="1:14" x14ac:dyDescent="0.3">
      <c r="A82" t="s">
        <v>94</v>
      </c>
      <c r="B82" s="3">
        <v>45104</v>
      </c>
      <c r="C82" t="s">
        <v>1294</v>
      </c>
      <c r="D82" t="s">
        <v>2404</v>
      </c>
      <c r="E82">
        <v>3</v>
      </c>
      <c r="F82">
        <v>589.55999999999995</v>
      </c>
      <c r="G82" t="s">
        <v>2484</v>
      </c>
      <c r="H82" t="s">
        <v>3066</v>
      </c>
      <c r="I82" t="s">
        <v>3072</v>
      </c>
      <c r="J82" t="s">
        <v>3155</v>
      </c>
      <c r="K82">
        <v>6</v>
      </c>
      <c r="L82" t="s">
        <v>4283</v>
      </c>
      <c r="M82" t="s">
        <v>4281</v>
      </c>
      <c r="N82">
        <v>1768.68</v>
      </c>
    </row>
    <row r="83" spans="1:14" x14ac:dyDescent="0.3">
      <c r="A83" t="s">
        <v>95</v>
      </c>
      <c r="B83" s="3">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3">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3">
        <v>45160</v>
      </c>
      <c r="C85" t="s">
        <v>1297</v>
      </c>
      <c r="D85" t="s">
        <v>2408</v>
      </c>
      <c r="E85">
        <v>4</v>
      </c>
      <c r="F85">
        <v>540.41</v>
      </c>
      <c r="G85" t="s">
        <v>2487</v>
      </c>
      <c r="H85" t="s">
        <v>3067</v>
      </c>
      <c r="I85" t="s">
        <v>3071</v>
      </c>
      <c r="J85" t="s">
        <v>3158</v>
      </c>
      <c r="K85">
        <v>6</v>
      </c>
      <c r="L85" t="s">
        <v>4283</v>
      </c>
      <c r="M85" t="s">
        <v>4279</v>
      </c>
      <c r="N85">
        <v>2161.64</v>
      </c>
    </row>
    <row r="86" spans="1:14" x14ac:dyDescent="0.3">
      <c r="A86" t="s">
        <v>98</v>
      </c>
      <c r="B86" s="3">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3">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3">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3">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3">
        <v>45813</v>
      </c>
      <c r="C90" t="s">
        <v>1302</v>
      </c>
      <c r="D90" t="s">
        <v>2409</v>
      </c>
      <c r="E90">
        <v>3</v>
      </c>
      <c r="F90">
        <v>114.81</v>
      </c>
      <c r="G90" t="s">
        <v>2492</v>
      </c>
      <c r="H90" t="s">
        <v>3068</v>
      </c>
      <c r="I90" t="s">
        <v>3071</v>
      </c>
      <c r="J90" t="s">
        <v>3163</v>
      </c>
      <c r="K90">
        <v>7</v>
      </c>
      <c r="L90" t="s">
        <v>4283</v>
      </c>
      <c r="M90" t="s">
        <v>4282</v>
      </c>
      <c r="N90">
        <v>344.43</v>
      </c>
    </row>
    <row r="91" spans="1:14" x14ac:dyDescent="0.3">
      <c r="A91" t="s">
        <v>103</v>
      </c>
      <c r="B91" s="3">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3">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3">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3">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3">
        <v>44940</v>
      </c>
      <c r="C95" t="s">
        <v>1307</v>
      </c>
      <c r="D95" t="s">
        <v>2409</v>
      </c>
      <c r="E95">
        <v>4</v>
      </c>
      <c r="F95">
        <v>431.01</v>
      </c>
      <c r="G95" t="s">
        <v>2497</v>
      </c>
      <c r="H95" t="s">
        <v>3067</v>
      </c>
      <c r="I95" t="s">
        <v>3072</v>
      </c>
      <c r="J95" t="s">
        <v>3168</v>
      </c>
      <c r="K95">
        <v>7</v>
      </c>
      <c r="L95" t="s">
        <v>4283</v>
      </c>
      <c r="M95" t="s">
        <v>4279</v>
      </c>
      <c r="N95">
        <v>1724.04</v>
      </c>
    </row>
    <row r="96" spans="1:14" x14ac:dyDescent="0.3">
      <c r="A96" t="s">
        <v>108</v>
      </c>
      <c r="B96" s="3">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3">
        <v>45009</v>
      </c>
      <c r="C97" t="s">
        <v>1309</v>
      </c>
      <c r="D97" t="s">
        <v>2407</v>
      </c>
      <c r="E97">
        <v>4</v>
      </c>
      <c r="F97">
        <v>117.51</v>
      </c>
      <c r="G97" t="s">
        <v>2499</v>
      </c>
      <c r="H97" t="s">
        <v>3065</v>
      </c>
      <c r="I97" t="s">
        <v>3072</v>
      </c>
      <c r="J97" t="s">
        <v>3170</v>
      </c>
      <c r="K97">
        <v>7</v>
      </c>
      <c r="L97" t="s">
        <v>4283</v>
      </c>
      <c r="M97" t="s">
        <v>4279</v>
      </c>
      <c r="N97">
        <v>470.04</v>
      </c>
    </row>
    <row r="98" spans="1:14" x14ac:dyDescent="0.3">
      <c r="A98" t="s">
        <v>110</v>
      </c>
      <c r="B98" s="3">
        <v>45444</v>
      </c>
      <c r="C98" t="s">
        <v>1310</v>
      </c>
      <c r="D98" t="s">
        <v>2404</v>
      </c>
      <c r="E98">
        <v>2</v>
      </c>
      <c r="F98">
        <v>232.83</v>
      </c>
      <c r="G98" t="s">
        <v>2483</v>
      </c>
      <c r="H98" t="s">
        <v>3068</v>
      </c>
      <c r="I98" t="s">
        <v>3073</v>
      </c>
      <c r="J98" t="s">
        <v>3171</v>
      </c>
      <c r="K98">
        <v>7</v>
      </c>
      <c r="L98" t="s">
        <v>4283</v>
      </c>
      <c r="M98" t="s">
        <v>4278</v>
      </c>
      <c r="N98">
        <v>465.66</v>
      </c>
    </row>
    <row r="99" spans="1:14" x14ac:dyDescent="0.3">
      <c r="A99" t="s">
        <v>111</v>
      </c>
      <c r="B99" s="3">
        <v>45678</v>
      </c>
      <c r="C99" t="s">
        <v>1311</v>
      </c>
      <c r="D99" t="s">
        <v>2405</v>
      </c>
      <c r="E99">
        <v>5</v>
      </c>
      <c r="F99">
        <v>619.52</v>
      </c>
      <c r="G99" t="s">
        <v>2500</v>
      </c>
      <c r="H99" t="s">
        <v>3065</v>
      </c>
      <c r="I99" t="s">
        <v>3074</v>
      </c>
      <c r="J99" t="s">
        <v>3172</v>
      </c>
      <c r="K99">
        <v>9</v>
      </c>
      <c r="L99" t="s">
        <v>4283</v>
      </c>
      <c r="M99" t="s">
        <v>4280</v>
      </c>
      <c r="N99">
        <v>3097.6</v>
      </c>
    </row>
    <row r="100" spans="1:14" x14ac:dyDescent="0.3">
      <c r="A100" t="s">
        <v>112</v>
      </c>
      <c r="B100" s="3">
        <v>44940</v>
      </c>
      <c r="C100" t="s">
        <v>1312</v>
      </c>
      <c r="D100" t="s">
        <v>2407</v>
      </c>
      <c r="E100">
        <v>2</v>
      </c>
      <c r="F100">
        <v>228.54</v>
      </c>
      <c r="G100" t="s">
        <v>2501</v>
      </c>
      <c r="H100" t="s">
        <v>3065</v>
      </c>
      <c r="I100" t="s">
        <v>3074</v>
      </c>
      <c r="J100" t="s">
        <v>3173</v>
      </c>
      <c r="K100">
        <v>3</v>
      </c>
      <c r="L100" t="s">
        <v>4283</v>
      </c>
      <c r="M100" t="s">
        <v>4280</v>
      </c>
      <c r="N100">
        <v>457.08</v>
      </c>
    </row>
    <row r="101" spans="1:14" x14ac:dyDescent="0.3">
      <c r="A101" t="s">
        <v>113</v>
      </c>
      <c r="B101" s="3">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3">
        <v>44974</v>
      </c>
      <c r="C102" t="s">
        <v>1314</v>
      </c>
      <c r="D102" t="s">
        <v>2404</v>
      </c>
      <c r="E102">
        <v>3</v>
      </c>
      <c r="F102">
        <v>664.79</v>
      </c>
      <c r="G102" t="s">
        <v>2503</v>
      </c>
      <c r="H102" t="s">
        <v>3066</v>
      </c>
      <c r="I102" t="s">
        <v>3073</v>
      </c>
      <c r="J102" t="s">
        <v>3175</v>
      </c>
      <c r="K102">
        <v>6</v>
      </c>
      <c r="L102" t="s">
        <v>4283</v>
      </c>
      <c r="M102" t="s">
        <v>4281</v>
      </c>
      <c r="N102">
        <v>1994.37</v>
      </c>
    </row>
    <row r="103" spans="1:14" x14ac:dyDescent="0.3">
      <c r="A103" t="s">
        <v>115</v>
      </c>
      <c r="B103" s="3">
        <v>45255</v>
      </c>
      <c r="C103" t="s">
        <v>1315</v>
      </c>
      <c r="D103" t="s">
        <v>2407</v>
      </c>
      <c r="E103">
        <v>1</v>
      </c>
      <c r="F103">
        <v>381.02</v>
      </c>
      <c r="G103" t="s">
        <v>2504</v>
      </c>
      <c r="H103" t="s">
        <v>3069</v>
      </c>
      <c r="I103" t="s">
        <v>3070</v>
      </c>
      <c r="J103" t="s">
        <v>3176</v>
      </c>
      <c r="K103">
        <v>6</v>
      </c>
      <c r="L103" t="s">
        <v>4283</v>
      </c>
      <c r="M103" t="s">
        <v>4282</v>
      </c>
      <c r="N103">
        <v>381.02</v>
      </c>
    </row>
    <row r="104" spans="1:14" x14ac:dyDescent="0.3">
      <c r="A104" t="s">
        <v>116</v>
      </c>
      <c r="B104" s="3">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3">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3">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3">
        <v>45589</v>
      </c>
      <c r="C107" t="s">
        <v>1319</v>
      </c>
      <c r="D107" t="s">
        <v>2407</v>
      </c>
      <c r="E107">
        <v>3</v>
      </c>
      <c r="F107">
        <v>185.4</v>
      </c>
      <c r="G107" t="s">
        <v>2508</v>
      </c>
      <c r="H107" t="s">
        <v>3068</v>
      </c>
      <c r="I107" t="s">
        <v>3071</v>
      </c>
      <c r="J107" t="s">
        <v>3180</v>
      </c>
      <c r="K107">
        <v>7</v>
      </c>
      <c r="L107" t="s">
        <v>4283</v>
      </c>
      <c r="M107" t="s">
        <v>4281</v>
      </c>
      <c r="N107">
        <v>556.20000000000005</v>
      </c>
    </row>
    <row r="108" spans="1:14" x14ac:dyDescent="0.3">
      <c r="A108" t="s">
        <v>120</v>
      </c>
      <c r="B108" s="3">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3">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3">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3">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3">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3">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3">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3">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3">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3">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3">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3">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3">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3">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3">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3">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3">
        <v>45397</v>
      </c>
      <c r="C124" t="s">
        <v>1336</v>
      </c>
      <c r="D124" t="s">
        <v>2408</v>
      </c>
      <c r="E124">
        <v>2</v>
      </c>
      <c r="F124">
        <v>533.02</v>
      </c>
      <c r="G124" t="s">
        <v>2524</v>
      </c>
      <c r="H124" t="s">
        <v>3068</v>
      </c>
      <c r="I124" t="s">
        <v>3070</v>
      </c>
      <c r="J124" t="s">
        <v>3197</v>
      </c>
      <c r="K124">
        <v>2</v>
      </c>
      <c r="L124" t="s">
        <v>4283</v>
      </c>
      <c r="M124" t="s">
        <v>4281</v>
      </c>
      <c r="N124">
        <v>1066.04</v>
      </c>
    </row>
    <row r="125" spans="1:14" x14ac:dyDescent="0.3">
      <c r="A125" t="s">
        <v>137</v>
      </c>
      <c r="B125" s="3">
        <v>45113</v>
      </c>
      <c r="C125" t="s">
        <v>1337</v>
      </c>
      <c r="D125" t="s">
        <v>2409</v>
      </c>
      <c r="E125">
        <v>3</v>
      </c>
      <c r="F125">
        <v>278.04000000000002</v>
      </c>
      <c r="G125" t="s">
        <v>2525</v>
      </c>
      <c r="H125" t="s">
        <v>3066</v>
      </c>
      <c r="I125" t="s">
        <v>3073</v>
      </c>
      <c r="J125" t="s">
        <v>3198</v>
      </c>
      <c r="K125">
        <v>5</v>
      </c>
      <c r="L125" t="s">
        <v>4283</v>
      </c>
      <c r="M125" t="s">
        <v>4278</v>
      </c>
      <c r="N125">
        <v>834.12000000000012</v>
      </c>
    </row>
    <row r="126" spans="1:14" x14ac:dyDescent="0.3">
      <c r="A126" t="s">
        <v>138</v>
      </c>
      <c r="B126" s="3">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x14ac:dyDescent="0.3">
      <c r="A127" t="s">
        <v>139</v>
      </c>
      <c r="B127" s="3">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3">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3">
        <v>45148</v>
      </c>
      <c r="C129" t="s">
        <v>1341</v>
      </c>
      <c r="D129" t="s">
        <v>2409</v>
      </c>
      <c r="E129">
        <v>3</v>
      </c>
      <c r="F129">
        <v>469.32</v>
      </c>
      <c r="G129" t="s">
        <v>2529</v>
      </c>
      <c r="H129" t="s">
        <v>3065</v>
      </c>
      <c r="I129" t="s">
        <v>3070</v>
      </c>
      <c r="J129" t="s">
        <v>3202</v>
      </c>
      <c r="K129">
        <v>3</v>
      </c>
      <c r="L129" t="s">
        <v>4283</v>
      </c>
      <c r="M129" t="s">
        <v>4282</v>
      </c>
      <c r="N129">
        <v>1407.96</v>
      </c>
    </row>
    <row r="130" spans="1:14" x14ac:dyDescent="0.3">
      <c r="A130" t="s">
        <v>142</v>
      </c>
      <c r="B130" s="3">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3">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3">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3">
        <v>44934</v>
      </c>
      <c r="C133" t="s">
        <v>1345</v>
      </c>
      <c r="D133" t="s">
        <v>2405</v>
      </c>
      <c r="E133">
        <v>1</v>
      </c>
      <c r="F133">
        <v>84.8</v>
      </c>
      <c r="G133" t="s">
        <v>2533</v>
      </c>
      <c r="H133" t="s">
        <v>3068</v>
      </c>
      <c r="I133" t="s">
        <v>3074</v>
      </c>
      <c r="J133" t="s">
        <v>3206</v>
      </c>
      <c r="K133">
        <v>5</v>
      </c>
      <c r="L133" t="s">
        <v>4283</v>
      </c>
      <c r="M133" t="s">
        <v>4278</v>
      </c>
      <c r="N133">
        <v>84.8</v>
      </c>
    </row>
    <row r="134" spans="1:14" x14ac:dyDescent="0.3">
      <c r="A134" t="s">
        <v>146</v>
      </c>
      <c r="B134" s="3">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3">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3">
        <v>45831</v>
      </c>
      <c r="C136" t="s">
        <v>1348</v>
      </c>
      <c r="D136" t="s">
        <v>2408</v>
      </c>
      <c r="E136">
        <v>2</v>
      </c>
      <c r="F136">
        <v>199.7</v>
      </c>
      <c r="G136" t="s">
        <v>2534</v>
      </c>
      <c r="H136" t="s">
        <v>3069</v>
      </c>
      <c r="I136" t="s">
        <v>3074</v>
      </c>
      <c r="J136" t="s">
        <v>3209</v>
      </c>
      <c r="K136">
        <v>4</v>
      </c>
      <c r="L136" t="s">
        <v>4283</v>
      </c>
      <c r="M136" t="s">
        <v>4280</v>
      </c>
      <c r="N136">
        <v>399.4</v>
      </c>
    </row>
    <row r="137" spans="1:14" x14ac:dyDescent="0.3">
      <c r="A137" t="s">
        <v>149</v>
      </c>
      <c r="B137" s="3">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3">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3">
        <v>45622</v>
      </c>
      <c r="C139" t="s">
        <v>1351</v>
      </c>
      <c r="D139" t="s">
        <v>2403</v>
      </c>
      <c r="E139">
        <v>2</v>
      </c>
      <c r="F139">
        <v>250.98</v>
      </c>
      <c r="G139" t="s">
        <v>2538</v>
      </c>
      <c r="H139" t="s">
        <v>3067</v>
      </c>
      <c r="I139" t="s">
        <v>3073</v>
      </c>
      <c r="J139" t="s">
        <v>3212</v>
      </c>
      <c r="K139">
        <v>5</v>
      </c>
      <c r="L139" t="s">
        <v>4283</v>
      </c>
      <c r="M139" t="s">
        <v>4282</v>
      </c>
      <c r="N139">
        <v>501.96</v>
      </c>
    </row>
    <row r="140" spans="1:14" x14ac:dyDescent="0.3">
      <c r="A140" t="s">
        <v>152</v>
      </c>
      <c r="B140" s="3">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3">
        <v>45026</v>
      </c>
      <c r="C141" t="s">
        <v>1353</v>
      </c>
      <c r="D141" t="s">
        <v>2404</v>
      </c>
      <c r="E141">
        <v>1</v>
      </c>
      <c r="F141">
        <v>583.9</v>
      </c>
      <c r="G141" t="s">
        <v>2540</v>
      </c>
      <c r="H141" t="s">
        <v>3069</v>
      </c>
      <c r="I141" t="s">
        <v>3072</v>
      </c>
      <c r="J141" t="s">
        <v>3214</v>
      </c>
      <c r="K141">
        <v>1</v>
      </c>
      <c r="L141" t="s">
        <v>4283</v>
      </c>
      <c r="M141" t="s">
        <v>4280</v>
      </c>
      <c r="N141">
        <v>583.9</v>
      </c>
    </row>
    <row r="142" spans="1:14" x14ac:dyDescent="0.3">
      <c r="A142" t="s">
        <v>154</v>
      </c>
      <c r="B142" s="3">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3">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3">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3">
        <v>45456</v>
      </c>
      <c r="C145" t="s">
        <v>1357</v>
      </c>
      <c r="D145" t="s">
        <v>2406</v>
      </c>
      <c r="E145">
        <v>4</v>
      </c>
      <c r="F145">
        <v>400.07</v>
      </c>
      <c r="G145" t="s">
        <v>2543</v>
      </c>
      <c r="H145" t="s">
        <v>3066</v>
      </c>
      <c r="I145" t="s">
        <v>3070</v>
      </c>
      <c r="J145" t="s">
        <v>3218</v>
      </c>
      <c r="K145">
        <v>5</v>
      </c>
      <c r="L145" t="s">
        <v>4283</v>
      </c>
      <c r="M145" t="s">
        <v>4279</v>
      </c>
      <c r="N145">
        <v>1600.28</v>
      </c>
    </row>
    <row r="146" spans="1:14" x14ac:dyDescent="0.3">
      <c r="A146" t="s">
        <v>158</v>
      </c>
      <c r="B146" s="3">
        <v>45142</v>
      </c>
      <c r="C146" t="s">
        <v>1358</v>
      </c>
      <c r="D146" t="s">
        <v>2409</v>
      </c>
      <c r="E146">
        <v>5</v>
      </c>
      <c r="F146">
        <v>219.78</v>
      </c>
      <c r="G146" t="s">
        <v>2440</v>
      </c>
      <c r="H146" t="s">
        <v>3067</v>
      </c>
      <c r="I146" t="s">
        <v>3074</v>
      </c>
      <c r="J146" t="s">
        <v>3219</v>
      </c>
      <c r="K146">
        <v>8</v>
      </c>
      <c r="L146" t="s">
        <v>4283</v>
      </c>
      <c r="M146" t="s">
        <v>4281</v>
      </c>
      <c r="N146">
        <v>1098.9000000000001</v>
      </c>
    </row>
    <row r="147" spans="1:14" x14ac:dyDescent="0.3">
      <c r="A147" t="s">
        <v>159</v>
      </c>
      <c r="B147" s="3">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3">
        <v>45777</v>
      </c>
      <c r="C148" t="s">
        <v>1360</v>
      </c>
      <c r="D148" t="s">
        <v>2405</v>
      </c>
      <c r="E148">
        <v>2</v>
      </c>
      <c r="F148">
        <v>411.49</v>
      </c>
      <c r="G148" t="s">
        <v>2545</v>
      </c>
      <c r="H148" t="s">
        <v>3067</v>
      </c>
      <c r="I148" t="s">
        <v>3072</v>
      </c>
      <c r="J148" t="s">
        <v>3221</v>
      </c>
      <c r="K148">
        <v>4</v>
      </c>
      <c r="L148" t="s">
        <v>4283</v>
      </c>
      <c r="M148" t="s">
        <v>4278</v>
      </c>
      <c r="N148">
        <v>822.98</v>
      </c>
    </row>
    <row r="149" spans="1:14" x14ac:dyDescent="0.3">
      <c r="A149" t="s">
        <v>161</v>
      </c>
      <c r="B149" s="3">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3">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3">
        <v>45287</v>
      </c>
      <c r="C151" t="s">
        <v>1363</v>
      </c>
      <c r="D151" t="s">
        <v>2408</v>
      </c>
      <c r="E151">
        <v>1</v>
      </c>
      <c r="F151">
        <v>217.56</v>
      </c>
      <c r="G151" t="s">
        <v>2548</v>
      </c>
      <c r="H151" t="s">
        <v>3065</v>
      </c>
      <c r="I151" t="s">
        <v>3073</v>
      </c>
      <c r="J151" t="s">
        <v>3224</v>
      </c>
      <c r="K151">
        <v>3</v>
      </c>
      <c r="L151" t="s">
        <v>4283</v>
      </c>
      <c r="M151" t="s">
        <v>4281</v>
      </c>
      <c r="N151">
        <v>217.56</v>
      </c>
    </row>
    <row r="152" spans="1:14" x14ac:dyDescent="0.3">
      <c r="A152" t="s">
        <v>164</v>
      </c>
      <c r="B152" s="3">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3">
        <v>45261</v>
      </c>
      <c r="C153" t="s">
        <v>1365</v>
      </c>
      <c r="D153" t="s">
        <v>2407</v>
      </c>
      <c r="E153">
        <v>5</v>
      </c>
      <c r="F153">
        <v>444.76</v>
      </c>
      <c r="G153" t="s">
        <v>2550</v>
      </c>
      <c r="H153" t="s">
        <v>3065</v>
      </c>
      <c r="I153" t="s">
        <v>3072</v>
      </c>
      <c r="J153" t="s">
        <v>3226</v>
      </c>
      <c r="K153">
        <v>7</v>
      </c>
      <c r="L153" t="s">
        <v>4283</v>
      </c>
      <c r="M153" t="s">
        <v>4280</v>
      </c>
      <c r="N153">
        <v>2223.8000000000002</v>
      </c>
    </row>
    <row r="154" spans="1:14" x14ac:dyDescent="0.3">
      <c r="A154" t="s">
        <v>166</v>
      </c>
      <c r="B154" s="3">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3">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3">
        <v>45127</v>
      </c>
      <c r="C156" t="s">
        <v>1368</v>
      </c>
      <c r="D156" t="s">
        <v>2404</v>
      </c>
      <c r="E156">
        <v>4</v>
      </c>
      <c r="F156">
        <v>408.21</v>
      </c>
      <c r="G156" t="s">
        <v>2525</v>
      </c>
      <c r="H156" t="s">
        <v>3067</v>
      </c>
      <c r="I156" t="s">
        <v>3074</v>
      </c>
      <c r="J156" t="s">
        <v>3229</v>
      </c>
      <c r="K156">
        <v>9</v>
      </c>
      <c r="L156" t="s">
        <v>4283</v>
      </c>
      <c r="M156" t="s">
        <v>4278</v>
      </c>
      <c r="N156">
        <v>1632.84</v>
      </c>
    </row>
    <row r="157" spans="1:14" x14ac:dyDescent="0.3">
      <c r="A157" t="s">
        <v>169</v>
      </c>
      <c r="B157" s="3">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3">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3">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3">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3">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3">
        <v>44974</v>
      </c>
      <c r="C162" t="s">
        <v>1374</v>
      </c>
      <c r="D162" t="s">
        <v>2403</v>
      </c>
      <c r="E162">
        <v>4</v>
      </c>
      <c r="F162">
        <v>101.32</v>
      </c>
      <c r="G162" t="s">
        <v>2556</v>
      </c>
      <c r="H162" t="s">
        <v>3069</v>
      </c>
      <c r="I162" t="s">
        <v>3074</v>
      </c>
      <c r="J162" t="s">
        <v>3235</v>
      </c>
      <c r="K162">
        <v>7</v>
      </c>
      <c r="L162" t="s">
        <v>4283</v>
      </c>
      <c r="M162" t="s">
        <v>4279</v>
      </c>
      <c r="N162">
        <v>405.28</v>
      </c>
    </row>
    <row r="163" spans="1:14" x14ac:dyDescent="0.3">
      <c r="A163" t="s">
        <v>175</v>
      </c>
      <c r="B163" s="3">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3">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3">
        <v>45832</v>
      </c>
      <c r="C165" t="s">
        <v>1377</v>
      </c>
      <c r="D165" t="s">
        <v>2405</v>
      </c>
      <c r="E165">
        <v>1</v>
      </c>
      <c r="F165">
        <v>641.39</v>
      </c>
      <c r="G165" t="s">
        <v>2557</v>
      </c>
      <c r="H165" t="s">
        <v>3066</v>
      </c>
      <c r="I165" t="s">
        <v>3071</v>
      </c>
      <c r="J165" t="s">
        <v>3238</v>
      </c>
      <c r="K165">
        <v>1</v>
      </c>
      <c r="L165" t="s">
        <v>4283</v>
      </c>
      <c r="M165" t="s">
        <v>4279</v>
      </c>
      <c r="N165">
        <v>641.39</v>
      </c>
    </row>
    <row r="166" spans="1:14" x14ac:dyDescent="0.3">
      <c r="A166" t="s">
        <v>178</v>
      </c>
      <c r="B166" s="3">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3">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3">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3">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3">
        <v>45661</v>
      </c>
      <c r="C170" t="s">
        <v>1382</v>
      </c>
      <c r="D170" t="s">
        <v>2407</v>
      </c>
      <c r="E170">
        <v>1</v>
      </c>
      <c r="F170">
        <v>594.96</v>
      </c>
      <c r="G170" t="s">
        <v>2561</v>
      </c>
      <c r="H170" t="s">
        <v>3069</v>
      </c>
      <c r="I170" t="s">
        <v>3072</v>
      </c>
      <c r="J170" t="s">
        <v>3243</v>
      </c>
      <c r="K170">
        <v>6</v>
      </c>
      <c r="L170" t="s">
        <v>4283</v>
      </c>
      <c r="M170" t="s">
        <v>4281</v>
      </c>
      <c r="N170">
        <v>594.96</v>
      </c>
    </row>
    <row r="171" spans="1:14" x14ac:dyDescent="0.3">
      <c r="A171" t="s">
        <v>183</v>
      </c>
      <c r="B171" s="3">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3">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3">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3">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3">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3">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3">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3">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3">
        <v>45143</v>
      </c>
      <c r="C179" t="s">
        <v>1391</v>
      </c>
      <c r="D179" t="s">
        <v>2406</v>
      </c>
      <c r="E179">
        <v>5</v>
      </c>
      <c r="F179">
        <v>431.69</v>
      </c>
      <c r="G179" t="s">
        <v>2569</v>
      </c>
      <c r="H179" t="s">
        <v>3067</v>
      </c>
      <c r="I179" t="s">
        <v>3074</v>
      </c>
      <c r="J179" t="s">
        <v>3252</v>
      </c>
      <c r="K179">
        <v>10</v>
      </c>
      <c r="L179" t="s">
        <v>4283</v>
      </c>
      <c r="M179" t="s">
        <v>4281</v>
      </c>
      <c r="N179">
        <v>2158.4499999999998</v>
      </c>
    </row>
    <row r="180" spans="1:14" x14ac:dyDescent="0.3">
      <c r="A180" t="s">
        <v>192</v>
      </c>
      <c r="B180" s="3">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3">
        <v>45620</v>
      </c>
      <c r="C181" t="s">
        <v>1393</v>
      </c>
      <c r="D181" t="s">
        <v>2408</v>
      </c>
      <c r="E181">
        <v>3</v>
      </c>
      <c r="F181">
        <v>539.91</v>
      </c>
      <c r="G181" t="s">
        <v>2571</v>
      </c>
      <c r="H181" t="s">
        <v>3067</v>
      </c>
      <c r="I181" t="s">
        <v>3073</v>
      </c>
      <c r="J181" t="s">
        <v>3254</v>
      </c>
      <c r="K181">
        <v>8</v>
      </c>
      <c r="L181" t="s">
        <v>4283</v>
      </c>
      <c r="M181" t="s">
        <v>4280</v>
      </c>
      <c r="N181">
        <v>1619.73</v>
      </c>
    </row>
    <row r="182" spans="1:14" x14ac:dyDescent="0.3">
      <c r="A182" t="s">
        <v>194</v>
      </c>
      <c r="B182" s="3">
        <v>45003</v>
      </c>
      <c r="C182" t="s">
        <v>1394</v>
      </c>
      <c r="D182" t="s">
        <v>2405</v>
      </c>
      <c r="E182">
        <v>5</v>
      </c>
      <c r="F182">
        <v>316.07</v>
      </c>
      <c r="G182" t="s">
        <v>2572</v>
      </c>
      <c r="H182" t="s">
        <v>3069</v>
      </c>
      <c r="I182" t="s">
        <v>3072</v>
      </c>
      <c r="J182" t="s">
        <v>3255</v>
      </c>
      <c r="K182">
        <v>10</v>
      </c>
      <c r="L182" t="s">
        <v>4283</v>
      </c>
      <c r="M182" t="s">
        <v>4282</v>
      </c>
      <c r="N182">
        <v>1580.35</v>
      </c>
    </row>
    <row r="183" spans="1:14" x14ac:dyDescent="0.3">
      <c r="A183" t="s">
        <v>195</v>
      </c>
      <c r="B183" s="3">
        <v>45535</v>
      </c>
      <c r="C183" t="s">
        <v>1395</v>
      </c>
      <c r="D183" t="s">
        <v>2407</v>
      </c>
      <c r="E183">
        <v>5</v>
      </c>
      <c r="F183">
        <v>404.39</v>
      </c>
      <c r="G183" t="s">
        <v>2573</v>
      </c>
      <c r="H183" t="s">
        <v>3066</v>
      </c>
      <c r="I183" t="s">
        <v>3070</v>
      </c>
      <c r="J183" t="s">
        <v>3256</v>
      </c>
      <c r="K183">
        <v>10</v>
      </c>
      <c r="L183" t="s">
        <v>4283</v>
      </c>
      <c r="M183" t="s">
        <v>4279</v>
      </c>
      <c r="N183">
        <v>2021.95</v>
      </c>
    </row>
    <row r="184" spans="1:14" x14ac:dyDescent="0.3">
      <c r="A184" t="s">
        <v>196</v>
      </c>
      <c r="B184" s="3">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3">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3">
        <v>45386</v>
      </c>
      <c r="C186" t="s">
        <v>1398</v>
      </c>
      <c r="D186" t="s">
        <v>2405</v>
      </c>
      <c r="E186">
        <v>4</v>
      </c>
      <c r="F186">
        <v>214.54</v>
      </c>
      <c r="G186" t="s">
        <v>2576</v>
      </c>
      <c r="H186" t="s">
        <v>3068</v>
      </c>
      <c r="I186" t="s">
        <v>3071</v>
      </c>
      <c r="J186" t="s">
        <v>3259</v>
      </c>
      <c r="K186">
        <v>7</v>
      </c>
      <c r="L186" t="s">
        <v>4283</v>
      </c>
      <c r="M186" t="s">
        <v>4279</v>
      </c>
      <c r="N186">
        <v>858.16</v>
      </c>
    </row>
    <row r="187" spans="1:14" x14ac:dyDescent="0.3">
      <c r="A187" t="s">
        <v>199</v>
      </c>
      <c r="B187" s="3">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3">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3">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3">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3">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3">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3">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3">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3">
        <v>45128</v>
      </c>
      <c r="C195" t="s">
        <v>1407</v>
      </c>
      <c r="D195" t="s">
        <v>2407</v>
      </c>
      <c r="E195">
        <v>1</v>
      </c>
      <c r="F195">
        <v>46.66</v>
      </c>
      <c r="G195" t="s">
        <v>2584</v>
      </c>
      <c r="H195" t="s">
        <v>3069</v>
      </c>
      <c r="I195" t="s">
        <v>3071</v>
      </c>
      <c r="J195" t="s">
        <v>3268</v>
      </c>
      <c r="K195">
        <v>6</v>
      </c>
      <c r="L195" t="s">
        <v>4283</v>
      </c>
      <c r="M195" t="s">
        <v>4282</v>
      </c>
      <c r="N195">
        <v>46.66</v>
      </c>
    </row>
    <row r="196" spans="1:14" x14ac:dyDescent="0.3">
      <c r="A196" t="s">
        <v>208</v>
      </c>
      <c r="B196" s="3">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3">
        <v>45404</v>
      </c>
      <c r="C197" t="s">
        <v>1409</v>
      </c>
      <c r="D197" t="s">
        <v>2406</v>
      </c>
      <c r="E197">
        <v>3</v>
      </c>
      <c r="F197">
        <v>619.21</v>
      </c>
      <c r="G197" t="s">
        <v>2586</v>
      </c>
      <c r="H197" t="s">
        <v>3065</v>
      </c>
      <c r="I197" t="s">
        <v>3071</v>
      </c>
      <c r="J197" t="s">
        <v>3270</v>
      </c>
      <c r="K197">
        <v>6</v>
      </c>
      <c r="L197" t="s">
        <v>4283</v>
      </c>
      <c r="M197" t="s">
        <v>4280</v>
      </c>
      <c r="N197">
        <v>1857.63</v>
      </c>
    </row>
    <row r="198" spans="1:14" x14ac:dyDescent="0.3">
      <c r="A198" t="s">
        <v>210</v>
      </c>
      <c r="B198" s="3">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3">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3">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3">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3">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3">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3">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3">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3">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3">
        <v>44989</v>
      </c>
      <c r="C207" t="s">
        <v>1419</v>
      </c>
      <c r="D207" t="s">
        <v>2409</v>
      </c>
      <c r="E207">
        <v>3</v>
      </c>
      <c r="F207">
        <v>147.38999999999999</v>
      </c>
      <c r="G207" t="s">
        <v>2591</v>
      </c>
      <c r="H207" t="s">
        <v>3065</v>
      </c>
      <c r="I207" t="s">
        <v>3072</v>
      </c>
      <c r="J207" t="s">
        <v>3280</v>
      </c>
      <c r="K207">
        <v>3</v>
      </c>
      <c r="L207" t="s">
        <v>4283</v>
      </c>
      <c r="M207" t="s">
        <v>4280</v>
      </c>
      <c r="N207">
        <v>442.17</v>
      </c>
    </row>
    <row r="208" spans="1:14" x14ac:dyDescent="0.3">
      <c r="A208" t="s">
        <v>220</v>
      </c>
      <c r="B208" s="3">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3">
        <v>45734</v>
      </c>
      <c r="C209" t="s">
        <v>1421</v>
      </c>
      <c r="D209" t="s">
        <v>2404</v>
      </c>
      <c r="E209">
        <v>1</v>
      </c>
      <c r="F209">
        <v>121.96</v>
      </c>
      <c r="G209" t="s">
        <v>2593</v>
      </c>
      <c r="H209" t="s">
        <v>3065</v>
      </c>
      <c r="I209" t="s">
        <v>3073</v>
      </c>
      <c r="J209" t="s">
        <v>3282</v>
      </c>
      <c r="K209">
        <v>3</v>
      </c>
      <c r="L209" t="s">
        <v>4283</v>
      </c>
      <c r="M209" t="s">
        <v>4282</v>
      </c>
      <c r="N209">
        <v>121.96</v>
      </c>
    </row>
    <row r="210" spans="1:14" x14ac:dyDescent="0.3">
      <c r="A210" t="s">
        <v>222</v>
      </c>
      <c r="B210" s="3">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3">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3">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3">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3">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3">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3">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x14ac:dyDescent="0.3">
      <c r="A217" t="s">
        <v>229</v>
      </c>
      <c r="B217" s="3">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3">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3">
        <v>45432</v>
      </c>
      <c r="C219" t="s">
        <v>1431</v>
      </c>
      <c r="D219" t="s">
        <v>2409</v>
      </c>
      <c r="E219">
        <v>4</v>
      </c>
      <c r="F219">
        <v>321.51</v>
      </c>
      <c r="G219" t="s">
        <v>2598</v>
      </c>
      <c r="H219" t="s">
        <v>3069</v>
      </c>
      <c r="I219" t="s">
        <v>3072</v>
      </c>
      <c r="J219" t="s">
        <v>3292</v>
      </c>
      <c r="K219">
        <v>9</v>
      </c>
      <c r="L219" t="s">
        <v>4283</v>
      </c>
      <c r="M219" t="s">
        <v>4282</v>
      </c>
      <c r="N219">
        <v>1286.04</v>
      </c>
    </row>
    <row r="220" spans="1:14" x14ac:dyDescent="0.3">
      <c r="A220" t="s">
        <v>232</v>
      </c>
      <c r="B220" s="3">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3">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3">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3">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3">
        <v>45050</v>
      </c>
      <c r="C224" t="s">
        <v>1436</v>
      </c>
      <c r="D224" t="s">
        <v>2406</v>
      </c>
      <c r="E224">
        <v>4</v>
      </c>
      <c r="F224">
        <v>693.36</v>
      </c>
      <c r="G224" t="s">
        <v>2602</v>
      </c>
      <c r="H224" t="s">
        <v>3066</v>
      </c>
      <c r="I224" t="s">
        <v>3070</v>
      </c>
      <c r="J224" t="s">
        <v>3297</v>
      </c>
      <c r="K224">
        <v>8</v>
      </c>
      <c r="L224" t="s">
        <v>4283</v>
      </c>
      <c r="M224" t="s">
        <v>4278</v>
      </c>
      <c r="N224">
        <v>2773.44</v>
      </c>
    </row>
    <row r="225" spans="1:14" x14ac:dyDescent="0.3">
      <c r="A225" t="s">
        <v>237</v>
      </c>
      <c r="B225" s="3">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3">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3">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3">
        <v>45835</v>
      </c>
      <c r="C228" t="s">
        <v>1440</v>
      </c>
      <c r="D228" t="s">
        <v>2409</v>
      </c>
      <c r="E228">
        <v>3</v>
      </c>
      <c r="F228">
        <v>588.04999999999995</v>
      </c>
      <c r="G228" t="s">
        <v>2605</v>
      </c>
      <c r="H228" t="s">
        <v>3068</v>
      </c>
      <c r="I228" t="s">
        <v>3073</v>
      </c>
      <c r="J228" t="s">
        <v>3301</v>
      </c>
      <c r="K228">
        <v>8</v>
      </c>
      <c r="L228" t="s">
        <v>4283</v>
      </c>
      <c r="M228" t="s">
        <v>4278</v>
      </c>
      <c r="N228">
        <v>1764.15</v>
      </c>
    </row>
    <row r="229" spans="1:14" x14ac:dyDescent="0.3">
      <c r="A229" t="s">
        <v>241</v>
      </c>
      <c r="B229" s="3">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3">
        <v>45063</v>
      </c>
      <c r="C230" t="s">
        <v>1442</v>
      </c>
      <c r="D230" t="s">
        <v>2406</v>
      </c>
      <c r="E230">
        <v>4</v>
      </c>
      <c r="F230">
        <v>385.92</v>
      </c>
      <c r="G230" t="s">
        <v>2606</v>
      </c>
      <c r="H230" t="s">
        <v>3067</v>
      </c>
      <c r="I230" t="s">
        <v>3071</v>
      </c>
      <c r="J230" t="s">
        <v>3303</v>
      </c>
      <c r="K230">
        <v>8</v>
      </c>
      <c r="L230" t="s">
        <v>4283</v>
      </c>
      <c r="M230" t="s">
        <v>4278</v>
      </c>
      <c r="N230">
        <v>1543.68</v>
      </c>
    </row>
    <row r="231" spans="1:14" x14ac:dyDescent="0.3">
      <c r="A231" t="s">
        <v>243</v>
      </c>
      <c r="B231" s="3">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3">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3">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3">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3">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3">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3">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3">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3">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3">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3">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3">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3">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3">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3">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3">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3">
        <v>45767</v>
      </c>
      <c r="C247" t="s">
        <v>1459</v>
      </c>
      <c r="D247" t="s">
        <v>2408</v>
      </c>
      <c r="E247">
        <v>1</v>
      </c>
      <c r="F247">
        <v>223.3</v>
      </c>
      <c r="G247" t="s">
        <v>2622</v>
      </c>
      <c r="H247" t="s">
        <v>3066</v>
      </c>
      <c r="I247" t="s">
        <v>3072</v>
      </c>
      <c r="J247" t="s">
        <v>3320</v>
      </c>
      <c r="K247">
        <v>1</v>
      </c>
      <c r="L247" t="s">
        <v>4283</v>
      </c>
      <c r="M247" t="s">
        <v>4281</v>
      </c>
      <c r="N247">
        <v>223.3</v>
      </c>
    </row>
    <row r="248" spans="1:14" x14ac:dyDescent="0.3">
      <c r="A248" t="s">
        <v>260</v>
      </c>
      <c r="B248" s="3">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3">
        <v>45127</v>
      </c>
      <c r="C249" t="s">
        <v>1461</v>
      </c>
      <c r="D249" t="s">
        <v>2407</v>
      </c>
      <c r="E249">
        <v>2</v>
      </c>
      <c r="F249">
        <v>220.9</v>
      </c>
      <c r="G249" t="s">
        <v>2624</v>
      </c>
      <c r="H249" t="s">
        <v>3068</v>
      </c>
      <c r="I249" t="s">
        <v>3070</v>
      </c>
      <c r="J249" t="s">
        <v>3322</v>
      </c>
      <c r="K249">
        <v>4</v>
      </c>
      <c r="L249" t="s">
        <v>4283</v>
      </c>
      <c r="M249" t="s">
        <v>4280</v>
      </c>
      <c r="N249">
        <v>441.8</v>
      </c>
    </row>
    <row r="250" spans="1:14" x14ac:dyDescent="0.3">
      <c r="A250" t="s">
        <v>262</v>
      </c>
      <c r="B250" s="3">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3">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3">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3">
        <v>45792</v>
      </c>
      <c r="C253" t="s">
        <v>1465</v>
      </c>
      <c r="D253" t="s">
        <v>2403</v>
      </c>
      <c r="E253">
        <v>4</v>
      </c>
      <c r="F253">
        <v>14.69</v>
      </c>
      <c r="G253" t="s">
        <v>2627</v>
      </c>
      <c r="H253" t="s">
        <v>3069</v>
      </c>
      <c r="I253" t="s">
        <v>3071</v>
      </c>
      <c r="J253" t="s">
        <v>3326</v>
      </c>
      <c r="K253">
        <v>9</v>
      </c>
      <c r="L253" t="s">
        <v>4283</v>
      </c>
      <c r="M253" t="s">
        <v>4280</v>
      </c>
      <c r="N253">
        <v>58.76</v>
      </c>
    </row>
    <row r="254" spans="1:14" x14ac:dyDescent="0.3">
      <c r="A254" t="s">
        <v>266</v>
      </c>
      <c r="B254" s="3">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3">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3">
        <v>45286</v>
      </c>
      <c r="C256" t="s">
        <v>1468</v>
      </c>
      <c r="D256" t="s">
        <v>2403</v>
      </c>
      <c r="E256">
        <v>3</v>
      </c>
      <c r="F256">
        <v>263.19</v>
      </c>
      <c r="G256" t="s">
        <v>2615</v>
      </c>
      <c r="H256" t="s">
        <v>3066</v>
      </c>
      <c r="I256" t="s">
        <v>3073</v>
      </c>
      <c r="J256" t="s">
        <v>3329</v>
      </c>
      <c r="K256">
        <v>5</v>
      </c>
      <c r="L256" t="s">
        <v>4283</v>
      </c>
      <c r="M256" t="s">
        <v>4278</v>
      </c>
      <c r="N256">
        <v>789.56999999999994</v>
      </c>
    </row>
    <row r="257" spans="1:14" x14ac:dyDescent="0.3">
      <c r="A257" t="s">
        <v>269</v>
      </c>
      <c r="B257" s="3">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3">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3">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3">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3">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3">
        <v>45063</v>
      </c>
      <c r="C262" t="s">
        <v>1474</v>
      </c>
      <c r="D262" t="s">
        <v>2403</v>
      </c>
      <c r="E262">
        <v>2</v>
      </c>
      <c r="F262">
        <v>407.79</v>
      </c>
      <c r="G262" t="s">
        <v>2632</v>
      </c>
      <c r="H262" t="s">
        <v>3065</v>
      </c>
      <c r="I262" t="s">
        <v>3070</v>
      </c>
      <c r="J262" t="s">
        <v>3335</v>
      </c>
      <c r="K262">
        <v>3</v>
      </c>
      <c r="L262" t="s">
        <v>4283</v>
      </c>
      <c r="M262" t="s">
        <v>4282</v>
      </c>
      <c r="N262">
        <v>815.58</v>
      </c>
    </row>
    <row r="263" spans="1:14" x14ac:dyDescent="0.3">
      <c r="A263" t="s">
        <v>275</v>
      </c>
      <c r="B263" s="3">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3">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3">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3">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3">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3">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3">
        <v>45764</v>
      </c>
      <c r="C269" t="s">
        <v>1481</v>
      </c>
      <c r="D269" t="s">
        <v>2406</v>
      </c>
      <c r="E269">
        <v>5</v>
      </c>
      <c r="F269">
        <v>468.51</v>
      </c>
      <c r="G269" t="s">
        <v>2638</v>
      </c>
      <c r="H269" t="s">
        <v>3065</v>
      </c>
      <c r="I269" t="s">
        <v>3073</v>
      </c>
      <c r="J269" t="s">
        <v>3342</v>
      </c>
      <c r="K269">
        <v>9</v>
      </c>
      <c r="L269" t="s">
        <v>4283</v>
      </c>
      <c r="M269" t="s">
        <v>4281</v>
      </c>
      <c r="N269">
        <v>2342.5500000000002</v>
      </c>
    </row>
    <row r="270" spans="1:14" x14ac:dyDescent="0.3">
      <c r="A270" t="s">
        <v>282</v>
      </c>
      <c r="B270" s="3">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3">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3">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3">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3">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3">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3">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3">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3">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3">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3">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3">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3">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3">
        <v>45134</v>
      </c>
      <c r="C283" t="s">
        <v>1495</v>
      </c>
      <c r="D283" t="s">
        <v>2409</v>
      </c>
      <c r="E283">
        <v>4</v>
      </c>
      <c r="F283">
        <v>654.79</v>
      </c>
      <c r="G283" t="s">
        <v>2651</v>
      </c>
      <c r="H283" t="s">
        <v>3069</v>
      </c>
      <c r="I283" t="s">
        <v>3074</v>
      </c>
      <c r="J283" t="s">
        <v>3356</v>
      </c>
      <c r="K283">
        <v>9</v>
      </c>
      <c r="L283" t="s">
        <v>4283</v>
      </c>
      <c r="M283" t="s">
        <v>4279</v>
      </c>
      <c r="N283">
        <v>2619.16</v>
      </c>
    </row>
    <row r="284" spans="1:14" x14ac:dyDescent="0.3">
      <c r="A284" t="s">
        <v>296</v>
      </c>
      <c r="B284" s="3">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3">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x14ac:dyDescent="0.3">
      <c r="A286" t="s">
        <v>298</v>
      </c>
      <c r="B286" s="3">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3">
        <v>45818</v>
      </c>
      <c r="C287" t="s">
        <v>1499</v>
      </c>
      <c r="D287" t="s">
        <v>2404</v>
      </c>
      <c r="E287">
        <v>1</v>
      </c>
      <c r="F287">
        <v>338.31</v>
      </c>
      <c r="G287" t="s">
        <v>2643</v>
      </c>
      <c r="H287" t="s">
        <v>3066</v>
      </c>
      <c r="I287" t="s">
        <v>3073</v>
      </c>
      <c r="J287" t="s">
        <v>3360</v>
      </c>
      <c r="K287">
        <v>3</v>
      </c>
      <c r="L287" t="s">
        <v>4283</v>
      </c>
      <c r="M287" t="s">
        <v>4282</v>
      </c>
      <c r="N287">
        <v>338.31</v>
      </c>
    </row>
    <row r="288" spans="1:14" x14ac:dyDescent="0.3">
      <c r="A288" t="s">
        <v>300</v>
      </c>
      <c r="B288" s="3">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3">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x14ac:dyDescent="0.3">
      <c r="A290" t="s">
        <v>302</v>
      </c>
      <c r="B290" s="3">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3">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3">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3">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3">
        <v>45672</v>
      </c>
      <c r="C294" t="s">
        <v>1506</v>
      </c>
      <c r="D294" t="s">
        <v>2403</v>
      </c>
      <c r="E294">
        <v>1</v>
      </c>
      <c r="F294">
        <v>65.95</v>
      </c>
      <c r="G294" t="s">
        <v>2594</v>
      </c>
      <c r="H294" t="s">
        <v>3067</v>
      </c>
      <c r="I294" t="s">
        <v>3073</v>
      </c>
      <c r="J294" t="s">
        <v>3367</v>
      </c>
      <c r="K294">
        <v>5</v>
      </c>
      <c r="L294" t="s">
        <v>4283</v>
      </c>
      <c r="M294" t="s">
        <v>4281</v>
      </c>
      <c r="N294">
        <v>65.95</v>
      </c>
    </row>
    <row r="295" spans="1:14" x14ac:dyDescent="0.3">
      <c r="A295" t="s">
        <v>307</v>
      </c>
      <c r="B295" s="3">
        <v>44973</v>
      </c>
      <c r="C295" t="s">
        <v>1507</v>
      </c>
      <c r="D295" t="s">
        <v>2405</v>
      </c>
      <c r="E295">
        <v>4</v>
      </c>
      <c r="F295">
        <v>463.04</v>
      </c>
      <c r="G295" t="s">
        <v>2658</v>
      </c>
      <c r="H295" t="s">
        <v>3068</v>
      </c>
      <c r="I295" t="s">
        <v>3072</v>
      </c>
      <c r="J295" t="s">
        <v>3368</v>
      </c>
      <c r="K295">
        <v>9</v>
      </c>
      <c r="L295" t="s">
        <v>4283</v>
      </c>
      <c r="M295" t="s">
        <v>4278</v>
      </c>
      <c r="N295">
        <v>1852.16</v>
      </c>
    </row>
    <row r="296" spans="1:14" x14ac:dyDescent="0.3">
      <c r="A296" t="s">
        <v>308</v>
      </c>
      <c r="B296" s="3">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3">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3">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3">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3">
        <v>45279</v>
      </c>
      <c r="C300" t="s">
        <v>1512</v>
      </c>
      <c r="D300" t="s">
        <v>2407</v>
      </c>
      <c r="E300">
        <v>4</v>
      </c>
      <c r="F300">
        <v>301.17</v>
      </c>
      <c r="G300" t="s">
        <v>2450</v>
      </c>
      <c r="H300" t="s">
        <v>3066</v>
      </c>
      <c r="I300" t="s">
        <v>3071</v>
      </c>
      <c r="J300" t="s">
        <v>3373</v>
      </c>
      <c r="K300">
        <v>6</v>
      </c>
      <c r="L300" t="s">
        <v>4283</v>
      </c>
      <c r="M300" t="s">
        <v>4280</v>
      </c>
      <c r="N300">
        <v>1204.68</v>
      </c>
    </row>
    <row r="301" spans="1:14" x14ac:dyDescent="0.3">
      <c r="A301" t="s">
        <v>313</v>
      </c>
      <c r="B301" s="3">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3">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3">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3">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3">
        <v>45633</v>
      </c>
      <c r="C305" t="s">
        <v>1517</v>
      </c>
      <c r="D305" t="s">
        <v>2405</v>
      </c>
      <c r="E305">
        <v>1</v>
      </c>
      <c r="F305">
        <v>30.54</v>
      </c>
      <c r="G305" t="s">
        <v>2666</v>
      </c>
      <c r="H305" t="s">
        <v>3065</v>
      </c>
      <c r="I305" t="s">
        <v>3072</v>
      </c>
      <c r="J305" t="s">
        <v>3378</v>
      </c>
      <c r="K305">
        <v>1</v>
      </c>
      <c r="L305" t="s">
        <v>4283</v>
      </c>
      <c r="M305" t="s">
        <v>4282</v>
      </c>
      <c r="N305">
        <v>30.54</v>
      </c>
    </row>
    <row r="306" spans="1:14" x14ac:dyDescent="0.3">
      <c r="A306" t="s">
        <v>318</v>
      </c>
      <c r="B306" s="3">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3">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3">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3">
        <v>45108</v>
      </c>
      <c r="C309" t="s">
        <v>1521</v>
      </c>
      <c r="D309" t="s">
        <v>2408</v>
      </c>
      <c r="E309">
        <v>3</v>
      </c>
      <c r="F309">
        <v>557.41</v>
      </c>
      <c r="G309" t="s">
        <v>2670</v>
      </c>
      <c r="H309" t="s">
        <v>3066</v>
      </c>
      <c r="I309" t="s">
        <v>3073</v>
      </c>
      <c r="J309" t="s">
        <v>3382</v>
      </c>
      <c r="K309">
        <v>4</v>
      </c>
      <c r="L309" t="s">
        <v>4283</v>
      </c>
      <c r="M309" t="s">
        <v>4280</v>
      </c>
      <c r="N309">
        <v>1672.23</v>
      </c>
    </row>
    <row r="310" spans="1:14" x14ac:dyDescent="0.3">
      <c r="A310" t="s">
        <v>322</v>
      </c>
      <c r="B310" s="3">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3">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3">
        <v>45346</v>
      </c>
      <c r="C312" t="s">
        <v>1524</v>
      </c>
      <c r="D312" t="s">
        <v>2407</v>
      </c>
      <c r="E312">
        <v>3</v>
      </c>
      <c r="F312">
        <v>132.47999999999999</v>
      </c>
      <c r="G312" t="s">
        <v>2672</v>
      </c>
      <c r="H312" t="s">
        <v>3066</v>
      </c>
      <c r="I312" t="s">
        <v>3070</v>
      </c>
      <c r="J312" t="s">
        <v>3385</v>
      </c>
      <c r="K312">
        <v>4</v>
      </c>
      <c r="L312" t="s">
        <v>4283</v>
      </c>
      <c r="M312" t="s">
        <v>4279</v>
      </c>
      <c r="N312">
        <v>397.43999999999988</v>
      </c>
    </row>
    <row r="313" spans="1:14" x14ac:dyDescent="0.3">
      <c r="A313" t="s">
        <v>325</v>
      </c>
      <c r="B313" s="3">
        <v>45794</v>
      </c>
      <c r="C313" t="s">
        <v>1525</v>
      </c>
      <c r="D313" t="s">
        <v>2409</v>
      </c>
      <c r="E313">
        <v>5</v>
      </c>
      <c r="F313">
        <v>489.37</v>
      </c>
      <c r="G313" t="s">
        <v>2673</v>
      </c>
      <c r="H313" t="s">
        <v>3066</v>
      </c>
      <c r="I313" t="s">
        <v>3072</v>
      </c>
      <c r="J313" t="s">
        <v>3386</v>
      </c>
      <c r="K313">
        <v>8</v>
      </c>
      <c r="L313" t="s">
        <v>4283</v>
      </c>
      <c r="M313" t="s">
        <v>4278</v>
      </c>
      <c r="N313">
        <v>2446.85</v>
      </c>
    </row>
    <row r="314" spans="1:14" x14ac:dyDescent="0.3">
      <c r="A314" t="s">
        <v>326</v>
      </c>
      <c r="B314" s="3">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3">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3">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3">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3">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3">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x14ac:dyDescent="0.3">
      <c r="A320" t="s">
        <v>332</v>
      </c>
      <c r="B320" s="3">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3">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x14ac:dyDescent="0.3">
      <c r="A322" t="s">
        <v>334</v>
      </c>
      <c r="B322" s="3">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3">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3">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3">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3">
        <v>45456</v>
      </c>
      <c r="C326" t="s">
        <v>1538</v>
      </c>
      <c r="D326" t="s">
        <v>2405</v>
      </c>
      <c r="E326">
        <v>3</v>
      </c>
      <c r="F326">
        <v>70.930000000000007</v>
      </c>
      <c r="G326" t="s">
        <v>2682</v>
      </c>
      <c r="H326" t="s">
        <v>3065</v>
      </c>
      <c r="I326" t="s">
        <v>3072</v>
      </c>
      <c r="J326" t="s">
        <v>3399</v>
      </c>
      <c r="K326">
        <v>5</v>
      </c>
      <c r="L326" t="s">
        <v>4283</v>
      </c>
      <c r="M326" t="s">
        <v>4279</v>
      </c>
      <c r="N326">
        <v>212.79</v>
      </c>
    </row>
    <row r="327" spans="1:14" x14ac:dyDescent="0.3">
      <c r="A327" t="s">
        <v>339</v>
      </c>
      <c r="B327" s="3">
        <v>45106</v>
      </c>
      <c r="C327" t="s">
        <v>1539</v>
      </c>
      <c r="D327" t="s">
        <v>2409</v>
      </c>
      <c r="E327">
        <v>3</v>
      </c>
      <c r="F327">
        <v>361.39</v>
      </c>
      <c r="G327" t="s">
        <v>2683</v>
      </c>
      <c r="H327" t="s">
        <v>3067</v>
      </c>
      <c r="I327" t="s">
        <v>3070</v>
      </c>
      <c r="J327" t="s">
        <v>3400</v>
      </c>
      <c r="K327">
        <v>8</v>
      </c>
      <c r="L327" t="s">
        <v>4283</v>
      </c>
      <c r="M327" t="s">
        <v>4279</v>
      </c>
      <c r="N327">
        <v>1084.17</v>
      </c>
    </row>
    <row r="328" spans="1:14" x14ac:dyDescent="0.3">
      <c r="A328" t="s">
        <v>340</v>
      </c>
      <c r="B328" s="3">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3">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3">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3">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x14ac:dyDescent="0.3">
      <c r="A332" t="s">
        <v>344</v>
      </c>
      <c r="B332" s="3">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3">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3">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3">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3">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3">
        <v>45719</v>
      </c>
      <c r="C337" t="s">
        <v>1549</v>
      </c>
      <c r="D337" t="s">
        <v>2405</v>
      </c>
      <c r="E337">
        <v>3</v>
      </c>
      <c r="F337">
        <v>205.86</v>
      </c>
      <c r="G337" t="s">
        <v>2674</v>
      </c>
      <c r="H337" t="s">
        <v>3068</v>
      </c>
      <c r="I337" t="s">
        <v>3070</v>
      </c>
      <c r="J337" t="s">
        <v>3410</v>
      </c>
      <c r="K337">
        <v>4</v>
      </c>
      <c r="L337" t="s">
        <v>4283</v>
      </c>
      <c r="M337" t="s">
        <v>4280</v>
      </c>
      <c r="N337">
        <v>617.58000000000004</v>
      </c>
    </row>
    <row r="338" spans="1:14" x14ac:dyDescent="0.3">
      <c r="A338" t="s">
        <v>350</v>
      </c>
      <c r="B338" s="3">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3">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3">
        <v>45238</v>
      </c>
      <c r="C340" t="s">
        <v>1552</v>
      </c>
      <c r="D340" t="s">
        <v>2404</v>
      </c>
      <c r="E340">
        <v>5</v>
      </c>
      <c r="F340">
        <v>305.49</v>
      </c>
      <c r="G340" t="s">
        <v>2691</v>
      </c>
      <c r="H340" t="s">
        <v>3065</v>
      </c>
      <c r="I340" t="s">
        <v>3070</v>
      </c>
      <c r="J340" t="s">
        <v>3413</v>
      </c>
      <c r="K340">
        <v>10</v>
      </c>
      <c r="L340" t="s">
        <v>4283</v>
      </c>
      <c r="M340" t="s">
        <v>4279</v>
      </c>
      <c r="N340">
        <v>1527.45</v>
      </c>
    </row>
    <row r="341" spans="1:14" x14ac:dyDescent="0.3">
      <c r="A341" t="s">
        <v>353</v>
      </c>
      <c r="B341" s="3">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3">
        <v>45039</v>
      </c>
      <c r="C342" t="s">
        <v>1554</v>
      </c>
      <c r="D342" t="s">
        <v>2408</v>
      </c>
      <c r="E342">
        <v>5</v>
      </c>
      <c r="F342">
        <v>521.25</v>
      </c>
      <c r="G342" t="s">
        <v>2693</v>
      </c>
      <c r="H342" t="s">
        <v>3069</v>
      </c>
      <c r="I342" t="s">
        <v>3071</v>
      </c>
      <c r="J342" t="s">
        <v>3415</v>
      </c>
      <c r="K342">
        <v>8</v>
      </c>
      <c r="L342" t="s">
        <v>4283</v>
      </c>
      <c r="M342" t="s">
        <v>4280</v>
      </c>
      <c r="N342">
        <v>2606.25</v>
      </c>
    </row>
    <row r="343" spans="1:14" x14ac:dyDescent="0.3">
      <c r="A343" t="s">
        <v>355</v>
      </c>
      <c r="B343" s="3">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3">
        <v>45832</v>
      </c>
      <c r="C344" t="s">
        <v>1556</v>
      </c>
      <c r="D344" t="s">
        <v>2403</v>
      </c>
      <c r="E344">
        <v>5</v>
      </c>
      <c r="F344">
        <v>466.42</v>
      </c>
      <c r="G344" t="s">
        <v>2695</v>
      </c>
      <c r="H344" t="s">
        <v>3068</v>
      </c>
      <c r="I344" t="s">
        <v>3072</v>
      </c>
      <c r="J344" t="s">
        <v>3417</v>
      </c>
      <c r="K344">
        <v>5</v>
      </c>
      <c r="L344" t="s">
        <v>4283</v>
      </c>
      <c r="M344" t="s">
        <v>4279</v>
      </c>
      <c r="N344">
        <v>2332.1</v>
      </c>
    </row>
    <row r="345" spans="1:14" x14ac:dyDescent="0.3">
      <c r="A345" t="s">
        <v>357</v>
      </c>
      <c r="B345" s="3">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3">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3">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3">
        <v>45632</v>
      </c>
      <c r="C348" t="s">
        <v>1560</v>
      </c>
      <c r="D348" t="s">
        <v>2405</v>
      </c>
      <c r="E348">
        <v>1</v>
      </c>
      <c r="F348">
        <v>655.09</v>
      </c>
      <c r="G348" t="s">
        <v>2699</v>
      </c>
      <c r="H348" t="s">
        <v>3069</v>
      </c>
      <c r="I348" t="s">
        <v>3074</v>
      </c>
      <c r="J348" t="s">
        <v>3421</v>
      </c>
      <c r="K348">
        <v>6</v>
      </c>
      <c r="L348" t="s">
        <v>4283</v>
      </c>
      <c r="M348" t="s">
        <v>4279</v>
      </c>
      <c r="N348">
        <v>655.09</v>
      </c>
    </row>
    <row r="349" spans="1:14" x14ac:dyDescent="0.3">
      <c r="A349" t="s">
        <v>361</v>
      </c>
      <c r="B349" s="3">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3">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3">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3">
        <v>45080</v>
      </c>
      <c r="C352" t="s">
        <v>1564</v>
      </c>
      <c r="D352" t="s">
        <v>2406</v>
      </c>
      <c r="E352">
        <v>2</v>
      </c>
      <c r="F352">
        <v>54.41</v>
      </c>
      <c r="G352" t="s">
        <v>2703</v>
      </c>
      <c r="H352" t="s">
        <v>3066</v>
      </c>
      <c r="I352" t="s">
        <v>3070</v>
      </c>
      <c r="J352" t="s">
        <v>3425</v>
      </c>
      <c r="K352">
        <v>6</v>
      </c>
      <c r="L352" t="s">
        <v>4283</v>
      </c>
      <c r="M352" t="s">
        <v>4278</v>
      </c>
      <c r="N352">
        <v>108.82</v>
      </c>
    </row>
    <row r="353" spans="1:14" x14ac:dyDescent="0.3">
      <c r="A353" t="s">
        <v>365</v>
      </c>
      <c r="B353" s="3">
        <v>45703</v>
      </c>
      <c r="C353" t="s">
        <v>1565</v>
      </c>
      <c r="D353" t="s">
        <v>2408</v>
      </c>
      <c r="E353">
        <v>1</v>
      </c>
      <c r="F353">
        <v>64.66</v>
      </c>
      <c r="G353" t="s">
        <v>2704</v>
      </c>
      <c r="H353" t="s">
        <v>3065</v>
      </c>
      <c r="I353" t="s">
        <v>3073</v>
      </c>
      <c r="J353" t="s">
        <v>3426</v>
      </c>
      <c r="K353">
        <v>4</v>
      </c>
      <c r="L353" t="s">
        <v>4283</v>
      </c>
      <c r="M353" t="s">
        <v>4278</v>
      </c>
      <c r="N353">
        <v>64.66</v>
      </c>
    </row>
    <row r="354" spans="1:14" x14ac:dyDescent="0.3">
      <c r="A354" t="s">
        <v>366</v>
      </c>
      <c r="B354" s="3">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3">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3">
        <v>45118</v>
      </c>
      <c r="C356" t="s">
        <v>1568</v>
      </c>
      <c r="D356" t="s">
        <v>2404</v>
      </c>
      <c r="E356">
        <v>1</v>
      </c>
      <c r="F356">
        <v>693.41</v>
      </c>
      <c r="G356" t="s">
        <v>2707</v>
      </c>
      <c r="H356" t="s">
        <v>3065</v>
      </c>
      <c r="I356" t="s">
        <v>3070</v>
      </c>
      <c r="J356" t="s">
        <v>3429</v>
      </c>
      <c r="K356">
        <v>4</v>
      </c>
      <c r="L356" t="s">
        <v>4283</v>
      </c>
      <c r="M356" t="s">
        <v>4278</v>
      </c>
      <c r="N356">
        <v>693.41</v>
      </c>
    </row>
    <row r="357" spans="1:14" x14ac:dyDescent="0.3">
      <c r="A357" t="s">
        <v>369</v>
      </c>
      <c r="B357" s="3">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3">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3">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3">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3">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3">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x14ac:dyDescent="0.3">
      <c r="A363" t="s">
        <v>375</v>
      </c>
      <c r="B363" s="3">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3">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3">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3">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3">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3">
        <v>44967</v>
      </c>
      <c r="C368" t="s">
        <v>1580</v>
      </c>
      <c r="D368" t="s">
        <v>2407</v>
      </c>
      <c r="E368">
        <v>3</v>
      </c>
      <c r="F368">
        <v>602.24</v>
      </c>
      <c r="G368" t="s">
        <v>2715</v>
      </c>
      <c r="H368" t="s">
        <v>3065</v>
      </c>
      <c r="I368" t="s">
        <v>3074</v>
      </c>
      <c r="J368" t="s">
        <v>3441</v>
      </c>
      <c r="K368">
        <v>8</v>
      </c>
      <c r="L368" t="s">
        <v>4283</v>
      </c>
      <c r="M368" t="s">
        <v>4279</v>
      </c>
      <c r="N368">
        <v>1806.72</v>
      </c>
    </row>
    <row r="369" spans="1:14" x14ac:dyDescent="0.3">
      <c r="A369" t="s">
        <v>381</v>
      </c>
      <c r="B369" s="3">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3">
        <v>45047</v>
      </c>
      <c r="C370" t="s">
        <v>1582</v>
      </c>
      <c r="D370" t="s">
        <v>2403</v>
      </c>
      <c r="E370">
        <v>3</v>
      </c>
      <c r="F370">
        <v>271.02</v>
      </c>
      <c r="G370" t="s">
        <v>2716</v>
      </c>
      <c r="H370" t="s">
        <v>3067</v>
      </c>
      <c r="I370" t="s">
        <v>3071</v>
      </c>
      <c r="J370" t="s">
        <v>3443</v>
      </c>
      <c r="K370">
        <v>6</v>
      </c>
      <c r="L370" t="s">
        <v>4283</v>
      </c>
      <c r="M370" t="s">
        <v>4282</v>
      </c>
      <c r="N370">
        <v>813.06</v>
      </c>
    </row>
    <row r="371" spans="1:14" x14ac:dyDescent="0.3">
      <c r="A371" t="s">
        <v>383</v>
      </c>
      <c r="B371" s="3">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3">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3">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3">
        <v>45702</v>
      </c>
      <c r="C374" t="s">
        <v>1586</v>
      </c>
      <c r="D374" t="s">
        <v>2406</v>
      </c>
      <c r="E374">
        <v>3</v>
      </c>
      <c r="F374">
        <v>483.53</v>
      </c>
      <c r="G374" t="s">
        <v>2719</v>
      </c>
      <c r="H374" t="s">
        <v>3069</v>
      </c>
      <c r="I374" t="s">
        <v>3072</v>
      </c>
      <c r="J374" t="s">
        <v>3447</v>
      </c>
      <c r="K374">
        <v>4</v>
      </c>
      <c r="L374" t="s">
        <v>4283</v>
      </c>
      <c r="M374" t="s">
        <v>4279</v>
      </c>
      <c r="N374">
        <v>1450.59</v>
      </c>
    </row>
    <row r="375" spans="1:14" x14ac:dyDescent="0.3">
      <c r="A375" t="s">
        <v>387</v>
      </c>
      <c r="B375" s="3">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3">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3">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3">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3">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3">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3">
        <v>45556</v>
      </c>
      <c r="C381" t="s">
        <v>1593</v>
      </c>
      <c r="D381" t="s">
        <v>2404</v>
      </c>
      <c r="E381">
        <v>3</v>
      </c>
      <c r="F381">
        <v>297.67</v>
      </c>
      <c r="G381" t="s">
        <v>2571</v>
      </c>
      <c r="H381" t="s">
        <v>3066</v>
      </c>
      <c r="I381" t="s">
        <v>3070</v>
      </c>
      <c r="J381" t="s">
        <v>3454</v>
      </c>
      <c r="K381">
        <v>6</v>
      </c>
      <c r="L381" t="s">
        <v>4283</v>
      </c>
      <c r="M381" t="s">
        <v>4282</v>
      </c>
      <c r="N381">
        <v>893.01</v>
      </c>
    </row>
    <row r="382" spans="1:14" x14ac:dyDescent="0.3">
      <c r="A382" t="s">
        <v>394</v>
      </c>
      <c r="B382" s="3">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3">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3">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3">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3">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3">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3">
        <v>45044</v>
      </c>
      <c r="C388" t="s">
        <v>1600</v>
      </c>
      <c r="D388" t="s">
        <v>2405</v>
      </c>
      <c r="E388">
        <v>1</v>
      </c>
      <c r="F388">
        <v>93.02</v>
      </c>
      <c r="G388" t="s">
        <v>2726</v>
      </c>
      <c r="H388" t="s">
        <v>3066</v>
      </c>
      <c r="I388" t="s">
        <v>3072</v>
      </c>
      <c r="J388" t="s">
        <v>3461</v>
      </c>
      <c r="K388">
        <v>4</v>
      </c>
      <c r="L388" t="s">
        <v>4283</v>
      </c>
      <c r="M388" t="s">
        <v>4280</v>
      </c>
      <c r="N388">
        <v>93.02</v>
      </c>
    </row>
    <row r="389" spans="1:14" x14ac:dyDescent="0.3">
      <c r="A389" t="s">
        <v>401</v>
      </c>
      <c r="B389" s="3">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3">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3">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3">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3">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3">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3">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x14ac:dyDescent="0.3">
      <c r="A396" t="s">
        <v>408</v>
      </c>
      <c r="B396" s="3">
        <v>45112</v>
      </c>
      <c r="C396" t="s">
        <v>1608</v>
      </c>
      <c r="D396" t="s">
        <v>2409</v>
      </c>
      <c r="E396">
        <v>5</v>
      </c>
      <c r="F396">
        <v>529.54999999999995</v>
      </c>
      <c r="G396" t="s">
        <v>2729</v>
      </c>
      <c r="H396" t="s">
        <v>3068</v>
      </c>
      <c r="I396" t="s">
        <v>3070</v>
      </c>
      <c r="J396" t="s">
        <v>3469</v>
      </c>
      <c r="K396">
        <v>10</v>
      </c>
      <c r="L396" t="s">
        <v>4283</v>
      </c>
      <c r="M396" t="s">
        <v>4281</v>
      </c>
      <c r="N396">
        <v>2647.75</v>
      </c>
    </row>
    <row r="397" spans="1:14" x14ac:dyDescent="0.3">
      <c r="A397" t="s">
        <v>409</v>
      </c>
      <c r="B397" s="3">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3">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3">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3">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3">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3">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3">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x14ac:dyDescent="0.3">
      <c r="A404" t="s">
        <v>416</v>
      </c>
      <c r="B404" s="3">
        <v>45025</v>
      </c>
      <c r="C404" t="s">
        <v>1616</v>
      </c>
      <c r="D404" t="s">
        <v>2407</v>
      </c>
      <c r="E404">
        <v>5</v>
      </c>
      <c r="F404">
        <v>337.38</v>
      </c>
      <c r="G404" t="s">
        <v>2734</v>
      </c>
      <c r="H404" t="s">
        <v>3068</v>
      </c>
      <c r="I404" t="s">
        <v>3070</v>
      </c>
      <c r="J404" t="s">
        <v>3477</v>
      </c>
      <c r="K404">
        <v>5</v>
      </c>
      <c r="L404" t="s">
        <v>4283</v>
      </c>
      <c r="M404" t="s">
        <v>4279</v>
      </c>
      <c r="N404">
        <v>1686.9</v>
      </c>
    </row>
    <row r="405" spans="1:14" x14ac:dyDescent="0.3">
      <c r="A405" t="s">
        <v>417</v>
      </c>
      <c r="B405" s="3">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3">
        <v>44994</v>
      </c>
      <c r="C406" t="s">
        <v>1618</v>
      </c>
      <c r="D406" t="s">
        <v>2403</v>
      </c>
      <c r="E406">
        <v>2</v>
      </c>
      <c r="F406">
        <v>99.1</v>
      </c>
      <c r="G406" t="s">
        <v>2473</v>
      </c>
      <c r="H406" t="s">
        <v>3069</v>
      </c>
      <c r="I406" t="s">
        <v>3073</v>
      </c>
      <c r="J406" t="s">
        <v>3479</v>
      </c>
      <c r="K406">
        <v>6</v>
      </c>
      <c r="L406" t="s">
        <v>4283</v>
      </c>
      <c r="M406" t="s">
        <v>4278</v>
      </c>
      <c r="N406">
        <v>198.2</v>
      </c>
    </row>
    <row r="407" spans="1:14" x14ac:dyDescent="0.3">
      <c r="A407" t="s">
        <v>419</v>
      </c>
      <c r="B407" s="3">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3">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3">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3">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3">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3">
        <v>45309</v>
      </c>
      <c r="C412" t="s">
        <v>1624</v>
      </c>
      <c r="D412" t="s">
        <v>2405</v>
      </c>
      <c r="E412">
        <v>2</v>
      </c>
      <c r="F412">
        <v>518.23</v>
      </c>
      <c r="G412" t="s">
        <v>2737</v>
      </c>
      <c r="H412" t="s">
        <v>3065</v>
      </c>
      <c r="I412" t="s">
        <v>3070</v>
      </c>
      <c r="J412" t="s">
        <v>3485</v>
      </c>
      <c r="K412">
        <v>5</v>
      </c>
      <c r="L412" t="s">
        <v>4283</v>
      </c>
      <c r="M412" t="s">
        <v>4280</v>
      </c>
      <c r="N412">
        <v>1036.46</v>
      </c>
    </row>
    <row r="413" spans="1:14" x14ac:dyDescent="0.3">
      <c r="A413" t="s">
        <v>425</v>
      </c>
      <c r="B413" s="3">
        <v>45462</v>
      </c>
      <c r="C413" t="s">
        <v>1625</v>
      </c>
      <c r="D413" t="s">
        <v>2409</v>
      </c>
      <c r="E413">
        <v>2</v>
      </c>
      <c r="F413">
        <v>39.51</v>
      </c>
      <c r="G413" t="s">
        <v>2549</v>
      </c>
      <c r="H413" t="s">
        <v>3066</v>
      </c>
      <c r="I413" t="s">
        <v>3070</v>
      </c>
      <c r="J413" t="s">
        <v>3486</v>
      </c>
      <c r="K413">
        <v>5</v>
      </c>
      <c r="L413" t="s">
        <v>4283</v>
      </c>
      <c r="M413" t="s">
        <v>4281</v>
      </c>
      <c r="N413">
        <v>79.02</v>
      </c>
    </row>
    <row r="414" spans="1:14" x14ac:dyDescent="0.3">
      <c r="A414" t="s">
        <v>426</v>
      </c>
      <c r="B414" s="3">
        <v>45758</v>
      </c>
      <c r="C414" t="s">
        <v>1626</v>
      </c>
      <c r="D414" t="s">
        <v>2405</v>
      </c>
      <c r="E414">
        <v>5</v>
      </c>
      <c r="F414">
        <v>133.01</v>
      </c>
      <c r="G414" t="s">
        <v>2738</v>
      </c>
      <c r="H414" t="s">
        <v>3067</v>
      </c>
      <c r="I414" t="s">
        <v>3072</v>
      </c>
      <c r="J414" t="s">
        <v>3487</v>
      </c>
      <c r="K414">
        <v>10</v>
      </c>
      <c r="L414" t="s">
        <v>4283</v>
      </c>
      <c r="M414" t="s">
        <v>4281</v>
      </c>
      <c r="N414">
        <v>665.05</v>
      </c>
    </row>
    <row r="415" spans="1:14" x14ac:dyDescent="0.3">
      <c r="A415" t="s">
        <v>427</v>
      </c>
      <c r="B415" s="3">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3">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3">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3">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3">
        <v>45223</v>
      </c>
      <c r="C419" t="s">
        <v>1631</v>
      </c>
      <c r="D419" t="s">
        <v>2408</v>
      </c>
      <c r="E419">
        <v>5</v>
      </c>
      <c r="F419">
        <v>55.41</v>
      </c>
      <c r="G419" t="s">
        <v>2742</v>
      </c>
      <c r="H419" t="s">
        <v>3066</v>
      </c>
      <c r="I419" t="s">
        <v>3071</v>
      </c>
      <c r="J419" t="s">
        <v>3492</v>
      </c>
      <c r="K419">
        <v>5</v>
      </c>
      <c r="L419" t="s">
        <v>4283</v>
      </c>
      <c r="M419" t="s">
        <v>4282</v>
      </c>
      <c r="N419">
        <v>277.05</v>
      </c>
    </row>
    <row r="420" spans="1:14" x14ac:dyDescent="0.3">
      <c r="A420" t="s">
        <v>432</v>
      </c>
      <c r="B420" s="3">
        <v>44937</v>
      </c>
      <c r="C420" t="s">
        <v>1632</v>
      </c>
      <c r="D420" t="s">
        <v>2407</v>
      </c>
      <c r="E420">
        <v>1</v>
      </c>
      <c r="F420">
        <v>310.93</v>
      </c>
      <c r="G420" t="s">
        <v>2743</v>
      </c>
      <c r="H420" t="s">
        <v>3066</v>
      </c>
      <c r="I420" t="s">
        <v>3071</v>
      </c>
      <c r="J420" t="s">
        <v>3493</v>
      </c>
      <c r="K420">
        <v>3</v>
      </c>
      <c r="L420" t="s">
        <v>4283</v>
      </c>
      <c r="M420" t="s">
        <v>4281</v>
      </c>
      <c r="N420">
        <v>310.93</v>
      </c>
    </row>
    <row r="421" spans="1:14" x14ac:dyDescent="0.3">
      <c r="A421" t="s">
        <v>433</v>
      </c>
      <c r="B421" s="3">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3">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3">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x14ac:dyDescent="0.3">
      <c r="A424" t="s">
        <v>436</v>
      </c>
      <c r="B424" s="3">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3">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3">
        <v>45028</v>
      </c>
      <c r="C426" t="s">
        <v>1638</v>
      </c>
      <c r="D426" t="s">
        <v>2406</v>
      </c>
      <c r="E426">
        <v>5</v>
      </c>
      <c r="F426">
        <v>22.94</v>
      </c>
      <c r="G426" t="s">
        <v>2678</v>
      </c>
      <c r="H426" t="s">
        <v>3069</v>
      </c>
      <c r="I426" t="s">
        <v>3074</v>
      </c>
      <c r="J426" t="s">
        <v>3499</v>
      </c>
      <c r="K426">
        <v>10</v>
      </c>
      <c r="L426" t="s">
        <v>4283</v>
      </c>
      <c r="M426" t="s">
        <v>4280</v>
      </c>
      <c r="N426">
        <v>114.7</v>
      </c>
    </row>
    <row r="427" spans="1:14" x14ac:dyDescent="0.3">
      <c r="A427" t="s">
        <v>439</v>
      </c>
      <c r="B427" s="3">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3">
        <v>45732</v>
      </c>
      <c r="C428" t="s">
        <v>1640</v>
      </c>
      <c r="D428" t="s">
        <v>2403</v>
      </c>
      <c r="E428">
        <v>5</v>
      </c>
      <c r="F428">
        <v>57.45</v>
      </c>
      <c r="G428" t="s">
        <v>2747</v>
      </c>
      <c r="H428" t="s">
        <v>3069</v>
      </c>
      <c r="I428" t="s">
        <v>3071</v>
      </c>
      <c r="J428" t="s">
        <v>3501</v>
      </c>
      <c r="K428">
        <v>10</v>
      </c>
      <c r="L428" t="s">
        <v>4283</v>
      </c>
      <c r="M428" t="s">
        <v>4281</v>
      </c>
      <c r="N428">
        <v>287.25</v>
      </c>
    </row>
    <row r="429" spans="1:14" x14ac:dyDescent="0.3">
      <c r="A429" t="s">
        <v>441</v>
      </c>
      <c r="B429" s="3">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3">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3">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3">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3">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3">
        <v>45173</v>
      </c>
      <c r="C434" t="s">
        <v>1646</v>
      </c>
      <c r="D434" t="s">
        <v>2405</v>
      </c>
      <c r="E434">
        <v>2</v>
      </c>
      <c r="F434">
        <v>424.32</v>
      </c>
      <c r="G434" t="s">
        <v>2750</v>
      </c>
      <c r="H434" t="s">
        <v>3067</v>
      </c>
      <c r="I434" t="s">
        <v>3072</v>
      </c>
      <c r="J434" t="s">
        <v>3507</v>
      </c>
      <c r="K434">
        <v>6</v>
      </c>
      <c r="L434" t="s">
        <v>4283</v>
      </c>
      <c r="M434" t="s">
        <v>4279</v>
      </c>
      <c r="N434">
        <v>848.64</v>
      </c>
    </row>
    <row r="435" spans="1:14" x14ac:dyDescent="0.3">
      <c r="A435" t="s">
        <v>447</v>
      </c>
      <c r="B435" s="3">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3">
        <v>45221</v>
      </c>
      <c r="C436" t="s">
        <v>1648</v>
      </c>
      <c r="D436" t="s">
        <v>2407</v>
      </c>
      <c r="E436">
        <v>5</v>
      </c>
      <c r="F436">
        <v>327.68</v>
      </c>
      <c r="G436" t="s">
        <v>2475</v>
      </c>
      <c r="H436" t="s">
        <v>3067</v>
      </c>
      <c r="I436" t="s">
        <v>3072</v>
      </c>
      <c r="J436" t="s">
        <v>3509</v>
      </c>
      <c r="K436">
        <v>6</v>
      </c>
      <c r="L436" t="s">
        <v>4283</v>
      </c>
      <c r="M436" t="s">
        <v>4281</v>
      </c>
      <c r="N436">
        <v>1638.4</v>
      </c>
    </row>
    <row r="437" spans="1:14" x14ac:dyDescent="0.3">
      <c r="A437" t="s">
        <v>449</v>
      </c>
      <c r="B437" s="3">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3">
        <v>44968</v>
      </c>
      <c r="C438" t="s">
        <v>1650</v>
      </c>
      <c r="D438" t="s">
        <v>2408</v>
      </c>
      <c r="E438">
        <v>4</v>
      </c>
      <c r="F438">
        <v>221.33</v>
      </c>
      <c r="G438" t="s">
        <v>2553</v>
      </c>
      <c r="H438" t="s">
        <v>3066</v>
      </c>
      <c r="I438" t="s">
        <v>3074</v>
      </c>
      <c r="J438" t="s">
        <v>3511</v>
      </c>
      <c r="K438">
        <v>5</v>
      </c>
      <c r="L438" t="s">
        <v>4283</v>
      </c>
      <c r="M438" t="s">
        <v>4282</v>
      </c>
      <c r="N438">
        <v>885.32</v>
      </c>
    </row>
    <row r="439" spans="1:14" x14ac:dyDescent="0.3">
      <c r="A439" t="s">
        <v>451</v>
      </c>
      <c r="B439" s="3">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3">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3">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3">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3">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3">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3">
        <v>45426</v>
      </c>
      <c r="C445" t="s">
        <v>1657</v>
      </c>
      <c r="D445" t="s">
        <v>2406</v>
      </c>
      <c r="E445">
        <v>2</v>
      </c>
      <c r="F445">
        <v>69.64</v>
      </c>
      <c r="G445" t="s">
        <v>2469</v>
      </c>
      <c r="H445" t="s">
        <v>3069</v>
      </c>
      <c r="I445" t="s">
        <v>3072</v>
      </c>
      <c r="J445" t="s">
        <v>3518</v>
      </c>
      <c r="K445">
        <v>6</v>
      </c>
      <c r="L445" t="s">
        <v>4283</v>
      </c>
      <c r="M445" t="s">
        <v>4281</v>
      </c>
      <c r="N445">
        <v>139.28</v>
      </c>
    </row>
    <row r="446" spans="1:14" x14ac:dyDescent="0.3">
      <c r="A446" t="s">
        <v>458</v>
      </c>
      <c r="B446" s="3">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3">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3">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3">
        <v>45389</v>
      </c>
      <c r="C449" t="s">
        <v>1661</v>
      </c>
      <c r="D449" t="s">
        <v>2407</v>
      </c>
      <c r="E449">
        <v>2</v>
      </c>
      <c r="F449">
        <v>416.81</v>
      </c>
      <c r="G449" t="s">
        <v>2759</v>
      </c>
      <c r="H449" t="s">
        <v>3069</v>
      </c>
      <c r="I449" t="s">
        <v>3072</v>
      </c>
      <c r="J449" t="s">
        <v>3522</v>
      </c>
      <c r="K449">
        <v>2</v>
      </c>
      <c r="L449" t="s">
        <v>4283</v>
      </c>
      <c r="M449" t="s">
        <v>4281</v>
      </c>
      <c r="N449">
        <v>833.62</v>
      </c>
    </row>
    <row r="450" spans="1:14" x14ac:dyDescent="0.3">
      <c r="A450" t="s">
        <v>462</v>
      </c>
      <c r="B450" s="3">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3">
        <v>45530</v>
      </c>
      <c r="C451" t="s">
        <v>1663</v>
      </c>
      <c r="D451" t="s">
        <v>2405</v>
      </c>
      <c r="E451">
        <v>3</v>
      </c>
      <c r="F451">
        <v>253.05</v>
      </c>
      <c r="G451" t="s">
        <v>2761</v>
      </c>
      <c r="H451" t="s">
        <v>3066</v>
      </c>
      <c r="I451" t="s">
        <v>3074</v>
      </c>
      <c r="J451" t="s">
        <v>3524</v>
      </c>
      <c r="K451">
        <v>3</v>
      </c>
      <c r="L451" t="s">
        <v>4283</v>
      </c>
      <c r="M451" t="s">
        <v>4278</v>
      </c>
      <c r="N451">
        <v>759.15000000000009</v>
      </c>
    </row>
    <row r="452" spans="1:14" x14ac:dyDescent="0.3">
      <c r="A452" t="s">
        <v>464</v>
      </c>
      <c r="B452" s="3">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3">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3">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3">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3">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3">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3">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3">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3">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3">
        <v>45497</v>
      </c>
      <c r="C461" t="s">
        <v>1673</v>
      </c>
      <c r="D461" t="s">
        <v>2409</v>
      </c>
      <c r="E461">
        <v>1</v>
      </c>
      <c r="F461">
        <v>334.39</v>
      </c>
      <c r="G461" t="s">
        <v>2749</v>
      </c>
      <c r="H461" t="s">
        <v>3067</v>
      </c>
      <c r="I461" t="s">
        <v>3072</v>
      </c>
      <c r="J461" t="s">
        <v>3534</v>
      </c>
      <c r="K461">
        <v>2</v>
      </c>
      <c r="L461" t="s">
        <v>4283</v>
      </c>
      <c r="M461" t="s">
        <v>4278</v>
      </c>
      <c r="N461">
        <v>334.39</v>
      </c>
    </row>
    <row r="462" spans="1:14" x14ac:dyDescent="0.3">
      <c r="A462" t="s">
        <v>474</v>
      </c>
      <c r="B462" s="3">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3">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3">
        <v>45747</v>
      </c>
      <c r="C464" t="s">
        <v>1676</v>
      </c>
      <c r="D464" t="s">
        <v>2404</v>
      </c>
      <c r="E464">
        <v>1</v>
      </c>
      <c r="F464">
        <v>252.68</v>
      </c>
      <c r="G464" t="s">
        <v>2769</v>
      </c>
      <c r="H464" t="s">
        <v>3066</v>
      </c>
      <c r="I464" t="s">
        <v>3071</v>
      </c>
      <c r="J464" t="s">
        <v>3537</v>
      </c>
      <c r="K464">
        <v>1</v>
      </c>
      <c r="L464" t="s">
        <v>4283</v>
      </c>
      <c r="M464" t="s">
        <v>4279</v>
      </c>
      <c r="N464">
        <v>252.68</v>
      </c>
    </row>
    <row r="465" spans="1:14" x14ac:dyDescent="0.3">
      <c r="A465" t="s">
        <v>477</v>
      </c>
      <c r="B465" s="3">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3">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3">
        <v>45348</v>
      </c>
      <c r="C467" t="s">
        <v>1679</v>
      </c>
      <c r="D467" t="s">
        <v>2407</v>
      </c>
      <c r="E467">
        <v>5</v>
      </c>
      <c r="F467">
        <v>513.49</v>
      </c>
      <c r="G467" t="s">
        <v>2772</v>
      </c>
      <c r="H467" t="s">
        <v>3068</v>
      </c>
      <c r="I467" t="s">
        <v>3071</v>
      </c>
      <c r="J467" t="s">
        <v>3540</v>
      </c>
      <c r="K467">
        <v>8</v>
      </c>
      <c r="L467" t="s">
        <v>4283</v>
      </c>
      <c r="M467" t="s">
        <v>4282</v>
      </c>
      <c r="N467">
        <v>2567.4499999999998</v>
      </c>
    </row>
    <row r="468" spans="1:14" x14ac:dyDescent="0.3">
      <c r="A468" t="s">
        <v>480</v>
      </c>
      <c r="B468" s="3">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3">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3">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3">
        <v>45256</v>
      </c>
      <c r="C471" t="s">
        <v>1683</v>
      </c>
      <c r="D471" t="s">
        <v>2406</v>
      </c>
      <c r="E471">
        <v>5</v>
      </c>
      <c r="F471">
        <v>676.98</v>
      </c>
      <c r="G471" t="s">
        <v>2546</v>
      </c>
      <c r="H471" t="s">
        <v>3069</v>
      </c>
      <c r="I471" t="s">
        <v>3071</v>
      </c>
      <c r="J471" t="s">
        <v>3544</v>
      </c>
      <c r="K471">
        <v>5</v>
      </c>
      <c r="L471" t="s">
        <v>4283</v>
      </c>
      <c r="M471" t="s">
        <v>4281</v>
      </c>
      <c r="N471">
        <v>3384.9</v>
      </c>
    </row>
    <row r="472" spans="1:14" x14ac:dyDescent="0.3">
      <c r="A472" t="s">
        <v>484</v>
      </c>
      <c r="B472" s="3">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3">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3">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3">
        <v>45713</v>
      </c>
      <c r="C475" t="s">
        <v>1687</v>
      </c>
      <c r="D475" t="s">
        <v>2406</v>
      </c>
      <c r="E475">
        <v>2</v>
      </c>
      <c r="F475">
        <v>14.93</v>
      </c>
      <c r="G475" t="s">
        <v>2777</v>
      </c>
      <c r="H475" t="s">
        <v>3066</v>
      </c>
      <c r="I475" t="s">
        <v>3070</v>
      </c>
      <c r="J475" t="s">
        <v>3548</v>
      </c>
      <c r="K475">
        <v>4</v>
      </c>
      <c r="L475" t="s">
        <v>4283</v>
      </c>
      <c r="M475" t="s">
        <v>4281</v>
      </c>
      <c r="N475">
        <v>29.86</v>
      </c>
    </row>
    <row r="476" spans="1:14" x14ac:dyDescent="0.3">
      <c r="A476" t="s">
        <v>488</v>
      </c>
      <c r="B476" s="3">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3">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3">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3">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3">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3">
        <v>44975</v>
      </c>
      <c r="C481" t="s">
        <v>1693</v>
      </c>
      <c r="D481" t="s">
        <v>2403</v>
      </c>
      <c r="E481">
        <v>4</v>
      </c>
      <c r="F481">
        <v>25.29</v>
      </c>
      <c r="G481" t="s">
        <v>2781</v>
      </c>
      <c r="H481" t="s">
        <v>3067</v>
      </c>
      <c r="I481" t="s">
        <v>3074</v>
      </c>
      <c r="J481" t="s">
        <v>3554</v>
      </c>
      <c r="K481">
        <v>8</v>
      </c>
      <c r="L481" t="s">
        <v>4283</v>
      </c>
      <c r="M481" t="s">
        <v>4282</v>
      </c>
      <c r="N481">
        <v>101.16</v>
      </c>
    </row>
    <row r="482" spans="1:14" x14ac:dyDescent="0.3">
      <c r="A482" t="s">
        <v>494</v>
      </c>
      <c r="B482" s="3">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3">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3">
        <v>45718</v>
      </c>
      <c r="C484" t="s">
        <v>1696</v>
      </c>
      <c r="D484" t="s">
        <v>2403</v>
      </c>
      <c r="E484">
        <v>3</v>
      </c>
      <c r="F484">
        <v>381.41</v>
      </c>
      <c r="G484" t="s">
        <v>2487</v>
      </c>
      <c r="H484" t="s">
        <v>3066</v>
      </c>
      <c r="I484" t="s">
        <v>3074</v>
      </c>
      <c r="J484" t="s">
        <v>3557</v>
      </c>
      <c r="K484">
        <v>6</v>
      </c>
      <c r="L484" t="s">
        <v>4283</v>
      </c>
      <c r="M484" t="s">
        <v>4278</v>
      </c>
      <c r="N484">
        <v>1144.23</v>
      </c>
    </row>
    <row r="485" spans="1:14" x14ac:dyDescent="0.3">
      <c r="A485" t="s">
        <v>497</v>
      </c>
      <c r="B485" s="3">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3">
        <v>45441</v>
      </c>
      <c r="C486" t="s">
        <v>1698</v>
      </c>
      <c r="D486" t="s">
        <v>2406</v>
      </c>
      <c r="E486">
        <v>4</v>
      </c>
      <c r="F486">
        <v>15.01</v>
      </c>
      <c r="G486" t="s">
        <v>2736</v>
      </c>
      <c r="H486" t="s">
        <v>3069</v>
      </c>
      <c r="I486" t="s">
        <v>3071</v>
      </c>
      <c r="J486" t="s">
        <v>3559</v>
      </c>
      <c r="K486">
        <v>6</v>
      </c>
      <c r="L486" t="s">
        <v>4283</v>
      </c>
      <c r="M486" t="s">
        <v>4281</v>
      </c>
      <c r="N486">
        <v>60.04</v>
      </c>
    </row>
    <row r="487" spans="1:14" x14ac:dyDescent="0.3">
      <c r="A487" t="s">
        <v>499</v>
      </c>
      <c r="B487" s="3">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3">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3">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3">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3">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3">
        <v>45495</v>
      </c>
      <c r="C492" t="s">
        <v>1704</v>
      </c>
      <c r="D492" t="s">
        <v>2406</v>
      </c>
      <c r="E492">
        <v>5</v>
      </c>
      <c r="F492">
        <v>467.81</v>
      </c>
      <c r="G492" t="s">
        <v>2786</v>
      </c>
      <c r="H492" t="s">
        <v>3066</v>
      </c>
      <c r="I492" t="s">
        <v>3071</v>
      </c>
      <c r="J492" t="s">
        <v>3565</v>
      </c>
      <c r="K492">
        <v>10</v>
      </c>
      <c r="L492" t="s">
        <v>4283</v>
      </c>
      <c r="M492" t="s">
        <v>4281</v>
      </c>
      <c r="N492">
        <v>2339.0500000000002</v>
      </c>
    </row>
    <row r="493" spans="1:14" x14ac:dyDescent="0.3">
      <c r="A493" t="s">
        <v>505</v>
      </c>
      <c r="B493" s="3">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3">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3">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3">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3">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3">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3">
        <v>45589</v>
      </c>
      <c r="C499" t="s">
        <v>1711</v>
      </c>
      <c r="D499" t="s">
        <v>2407</v>
      </c>
      <c r="E499">
        <v>3</v>
      </c>
      <c r="F499">
        <v>112.29</v>
      </c>
      <c r="G499" t="s">
        <v>2790</v>
      </c>
      <c r="H499" t="s">
        <v>3068</v>
      </c>
      <c r="I499" t="s">
        <v>3070</v>
      </c>
      <c r="J499" t="s">
        <v>3572</v>
      </c>
      <c r="K499">
        <v>6</v>
      </c>
      <c r="L499" t="s">
        <v>4283</v>
      </c>
      <c r="M499" t="s">
        <v>4282</v>
      </c>
      <c r="N499">
        <v>336.87</v>
      </c>
    </row>
    <row r="500" spans="1:14" x14ac:dyDescent="0.3">
      <c r="A500" t="s">
        <v>512</v>
      </c>
      <c r="B500" s="3">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3">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3">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3">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3">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3">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3">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3">
        <v>45088</v>
      </c>
      <c r="C507" t="s">
        <v>1719</v>
      </c>
      <c r="D507" t="s">
        <v>2407</v>
      </c>
      <c r="E507">
        <v>2</v>
      </c>
      <c r="F507">
        <v>434.97</v>
      </c>
      <c r="G507" t="s">
        <v>2727</v>
      </c>
      <c r="H507" t="s">
        <v>3066</v>
      </c>
      <c r="I507" t="s">
        <v>3070</v>
      </c>
      <c r="J507" t="s">
        <v>3580</v>
      </c>
      <c r="K507">
        <v>7</v>
      </c>
      <c r="L507" t="s">
        <v>4283</v>
      </c>
      <c r="M507" t="s">
        <v>4280</v>
      </c>
      <c r="N507">
        <v>869.94</v>
      </c>
    </row>
    <row r="508" spans="1:14" x14ac:dyDescent="0.3">
      <c r="A508" t="s">
        <v>520</v>
      </c>
      <c r="B508" s="3">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3">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3">
        <v>45791</v>
      </c>
      <c r="C510" t="s">
        <v>1722</v>
      </c>
      <c r="D510" t="s">
        <v>2404</v>
      </c>
      <c r="E510">
        <v>1</v>
      </c>
      <c r="F510">
        <v>558.27</v>
      </c>
      <c r="G510" t="s">
        <v>2797</v>
      </c>
      <c r="H510" t="s">
        <v>3066</v>
      </c>
      <c r="I510" t="s">
        <v>3073</v>
      </c>
      <c r="J510" t="s">
        <v>3583</v>
      </c>
      <c r="K510">
        <v>1</v>
      </c>
      <c r="L510" t="s">
        <v>4283</v>
      </c>
      <c r="M510" t="s">
        <v>4279</v>
      </c>
      <c r="N510">
        <v>558.27</v>
      </c>
    </row>
    <row r="511" spans="1:14" x14ac:dyDescent="0.3">
      <c r="A511" t="s">
        <v>523</v>
      </c>
      <c r="B511" s="3">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3">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3">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3">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3">
        <v>45697</v>
      </c>
      <c r="C515" t="s">
        <v>1727</v>
      </c>
      <c r="D515" t="s">
        <v>2405</v>
      </c>
      <c r="E515">
        <v>3</v>
      </c>
      <c r="F515">
        <v>94.88</v>
      </c>
      <c r="G515" t="s">
        <v>2501</v>
      </c>
      <c r="H515" t="s">
        <v>3068</v>
      </c>
      <c r="I515" t="s">
        <v>3070</v>
      </c>
      <c r="J515" t="s">
        <v>3588</v>
      </c>
      <c r="K515">
        <v>8</v>
      </c>
      <c r="L515" t="s">
        <v>4283</v>
      </c>
      <c r="M515" t="s">
        <v>4279</v>
      </c>
      <c r="N515">
        <v>284.64</v>
      </c>
    </row>
    <row r="516" spans="1:14" x14ac:dyDescent="0.3">
      <c r="A516" t="s">
        <v>528</v>
      </c>
      <c r="B516" s="3">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3">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3">
        <v>45389</v>
      </c>
      <c r="C518" t="s">
        <v>1730</v>
      </c>
      <c r="D518" t="s">
        <v>2403</v>
      </c>
      <c r="E518">
        <v>3</v>
      </c>
      <c r="F518">
        <v>166.99</v>
      </c>
      <c r="G518" t="s">
        <v>2659</v>
      </c>
      <c r="H518" t="s">
        <v>3069</v>
      </c>
      <c r="I518" t="s">
        <v>3072</v>
      </c>
      <c r="J518" t="s">
        <v>3591</v>
      </c>
      <c r="K518">
        <v>8</v>
      </c>
      <c r="L518" t="s">
        <v>4283</v>
      </c>
      <c r="M518" t="s">
        <v>4281</v>
      </c>
      <c r="N518">
        <v>500.97</v>
      </c>
    </row>
    <row r="519" spans="1:14" x14ac:dyDescent="0.3">
      <c r="A519" t="s">
        <v>531</v>
      </c>
      <c r="B519" s="3">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3">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3">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3">
        <v>44995</v>
      </c>
      <c r="C522" t="s">
        <v>1734</v>
      </c>
      <c r="D522" t="s">
        <v>2403</v>
      </c>
      <c r="E522">
        <v>3</v>
      </c>
      <c r="F522">
        <v>635.98</v>
      </c>
      <c r="G522" t="s">
        <v>2801</v>
      </c>
      <c r="H522" t="s">
        <v>3069</v>
      </c>
      <c r="I522" t="s">
        <v>3072</v>
      </c>
      <c r="J522" t="s">
        <v>3595</v>
      </c>
      <c r="K522">
        <v>5</v>
      </c>
      <c r="L522" t="s">
        <v>4283</v>
      </c>
      <c r="M522" t="s">
        <v>4279</v>
      </c>
      <c r="N522">
        <v>1907.94</v>
      </c>
    </row>
    <row r="523" spans="1:14" x14ac:dyDescent="0.3">
      <c r="A523" t="s">
        <v>535</v>
      </c>
      <c r="B523" s="3">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x14ac:dyDescent="0.3">
      <c r="A524" t="s">
        <v>536</v>
      </c>
      <c r="B524" s="3">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3">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3">
        <v>45224</v>
      </c>
      <c r="C526" t="s">
        <v>1738</v>
      </c>
      <c r="D526" t="s">
        <v>2404</v>
      </c>
      <c r="E526">
        <v>1</v>
      </c>
      <c r="F526">
        <v>153</v>
      </c>
      <c r="G526" t="s">
        <v>2483</v>
      </c>
      <c r="H526" t="s">
        <v>3067</v>
      </c>
      <c r="I526" t="s">
        <v>3072</v>
      </c>
      <c r="J526" t="s">
        <v>3599</v>
      </c>
      <c r="K526">
        <v>4</v>
      </c>
      <c r="L526" t="s">
        <v>4283</v>
      </c>
      <c r="M526" t="s">
        <v>4279</v>
      </c>
      <c r="N526">
        <v>153</v>
      </c>
    </row>
    <row r="527" spans="1:14" x14ac:dyDescent="0.3">
      <c r="A527" t="s">
        <v>539</v>
      </c>
      <c r="B527" s="3">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3">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3">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3">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3">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3">
        <v>45491</v>
      </c>
      <c r="C532" t="s">
        <v>1744</v>
      </c>
      <c r="D532" t="s">
        <v>2406</v>
      </c>
      <c r="E532">
        <v>4</v>
      </c>
      <c r="F532">
        <v>89.41</v>
      </c>
      <c r="G532" t="s">
        <v>2804</v>
      </c>
      <c r="H532" t="s">
        <v>3066</v>
      </c>
      <c r="I532" t="s">
        <v>3074</v>
      </c>
      <c r="J532" t="s">
        <v>3605</v>
      </c>
      <c r="K532">
        <v>9</v>
      </c>
      <c r="L532" t="s">
        <v>4283</v>
      </c>
      <c r="M532" t="s">
        <v>4282</v>
      </c>
      <c r="N532">
        <v>357.64</v>
      </c>
    </row>
    <row r="533" spans="1:14" x14ac:dyDescent="0.3">
      <c r="A533" t="s">
        <v>545</v>
      </c>
      <c r="B533" s="3">
        <v>45475</v>
      </c>
      <c r="C533" t="s">
        <v>1745</v>
      </c>
      <c r="D533" t="s">
        <v>2409</v>
      </c>
      <c r="E533">
        <v>5</v>
      </c>
      <c r="F533">
        <v>320.01</v>
      </c>
      <c r="G533" t="s">
        <v>2805</v>
      </c>
      <c r="H533" t="s">
        <v>3068</v>
      </c>
      <c r="I533" t="s">
        <v>3073</v>
      </c>
      <c r="J533" t="s">
        <v>3606</v>
      </c>
      <c r="K533">
        <v>6</v>
      </c>
      <c r="L533" t="s">
        <v>4283</v>
      </c>
      <c r="M533" t="s">
        <v>4279</v>
      </c>
      <c r="N533">
        <v>1600.05</v>
      </c>
    </row>
    <row r="534" spans="1:14" x14ac:dyDescent="0.3">
      <c r="A534" t="s">
        <v>546</v>
      </c>
      <c r="B534" s="3">
        <v>45780</v>
      </c>
      <c r="C534" t="s">
        <v>1746</v>
      </c>
      <c r="D534" t="s">
        <v>2408</v>
      </c>
      <c r="E534">
        <v>2</v>
      </c>
      <c r="F534">
        <v>41</v>
      </c>
      <c r="G534" t="s">
        <v>2806</v>
      </c>
      <c r="H534" t="s">
        <v>3066</v>
      </c>
      <c r="I534" t="s">
        <v>3073</v>
      </c>
      <c r="J534" t="s">
        <v>3607</v>
      </c>
      <c r="K534">
        <v>7</v>
      </c>
      <c r="L534" t="s">
        <v>4283</v>
      </c>
      <c r="M534" t="s">
        <v>4280</v>
      </c>
      <c r="N534">
        <v>82</v>
      </c>
    </row>
    <row r="535" spans="1:14" x14ac:dyDescent="0.3">
      <c r="A535" t="s">
        <v>547</v>
      </c>
      <c r="B535" s="3">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3">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3">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3">
        <v>45452</v>
      </c>
      <c r="C538" t="s">
        <v>1750</v>
      </c>
      <c r="D538" t="s">
        <v>2406</v>
      </c>
      <c r="E538">
        <v>1</v>
      </c>
      <c r="F538">
        <v>616.1</v>
      </c>
      <c r="G538" t="s">
        <v>2808</v>
      </c>
      <c r="H538" t="s">
        <v>3069</v>
      </c>
      <c r="I538" t="s">
        <v>3072</v>
      </c>
      <c r="J538" t="s">
        <v>3611</v>
      </c>
      <c r="K538">
        <v>6</v>
      </c>
      <c r="L538" t="s">
        <v>4283</v>
      </c>
      <c r="M538" t="s">
        <v>4280</v>
      </c>
      <c r="N538">
        <v>616.1</v>
      </c>
    </row>
    <row r="539" spans="1:14" x14ac:dyDescent="0.3">
      <c r="A539" t="s">
        <v>551</v>
      </c>
      <c r="B539" s="3">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3">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3">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3">
        <v>45320</v>
      </c>
      <c r="C542" t="s">
        <v>1754</v>
      </c>
      <c r="D542" t="s">
        <v>2408</v>
      </c>
      <c r="E542">
        <v>5</v>
      </c>
      <c r="F542">
        <v>648.65</v>
      </c>
      <c r="G542" t="s">
        <v>2811</v>
      </c>
      <c r="H542" t="s">
        <v>3066</v>
      </c>
      <c r="I542" t="s">
        <v>3074</v>
      </c>
      <c r="J542" t="s">
        <v>3615</v>
      </c>
      <c r="K542">
        <v>7</v>
      </c>
      <c r="L542" t="s">
        <v>4283</v>
      </c>
      <c r="M542" t="s">
        <v>4279</v>
      </c>
      <c r="N542">
        <v>3243.25</v>
      </c>
    </row>
    <row r="543" spans="1:14" x14ac:dyDescent="0.3">
      <c r="A543" t="s">
        <v>555</v>
      </c>
      <c r="B543" s="3">
        <v>45145</v>
      </c>
      <c r="C543" t="s">
        <v>1755</v>
      </c>
      <c r="D543" t="s">
        <v>2407</v>
      </c>
      <c r="E543">
        <v>5</v>
      </c>
      <c r="F543">
        <v>456.06</v>
      </c>
      <c r="G543" t="s">
        <v>2812</v>
      </c>
      <c r="H543" t="s">
        <v>3069</v>
      </c>
      <c r="I543" t="s">
        <v>3074</v>
      </c>
      <c r="J543" t="s">
        <v>3616</v>
      </c>
      <c r="K543">
        <v>10</v>
      </c>
      <c r="L543" t="s">
        <v>4283</v>
      </c>
      <c r="M543" t="s">
        <v>4278</v>
      </c>
      <c r="N543">
        <v>2280.3000000000002</v>
      </c>
    </row>
    <row r="544" spans="1:14" x14ac:dyDescent="0.3">
      <c r="A544" t="s">
        <v>556</v>
      </c>
      <c r="B544" s="3">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3">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3">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3">
        <v>45279</v>
      </c>
      <c r="C547" t="s">
        <v>1759</v>
      </c>
      <c r="D547" t="s">
        <v>2403</v>
      </c>
      <c r="E547">
        <v>2</v>
      </c>
      <c r="F547">
        <v>98.47</v>
      </c>
      <c r="G547" t="s">
        <v>2813</v>
      </c>
      <c r="H547" t="s">
        <v>3069</v>
      </c>
      <c r="I547" t="s">
        <v>3072</v>
      </c>
      <c r="J547" t="s">
        <v>3620</v>
      </c>
      <c r="K547">
        <v>3</v>
      </c>
      <c r="L547" t="s">
        <v>4283</v>
      </c>
      <c r="M547" t="s">
        <v>4278</v>
      </c>
      <c r="N547">
        <v>196.94</v>
      </c>
    </row>
    <row r="548" spans="1:14" x14ac:dyDescent="0.3">
      <c r="A548" t="s">
        <v>560</v>
      </c>
      <c r="B548" s="3">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3">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3">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3">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3">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3">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3">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3">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3">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3">
        <v>44933</v>
      </c>
      <c r="C557" t="s">
        <v>1769</v>
      </c>
      <c r="D557" t="s">
        <v>2405</v>
      </c>
      <c r="E557">
        <v>1</v>
      </c>
      <c r="F557">
        <v>92.04</v>
      </c>
      <c r="G557" t="s">
        <v>2420</v>
      </c>
      <c r="H557" t="s">
        <v>3069</v>
      </c>
      <c r="I557" t="s">
        <v>3070</v>
      </c>
      <c r="J557" t="s">
        <v>3630</v>
      </c>
      <c r="K557">
        <v>2</v>
      </c>
      <c r="L557" t="s">
        <v>4283</v>
      </c>
      <c r="M557" t="s">
        <v>4281</v>
      </c>
      <c r="N557">
        <v>92.04</v>
      </c>
    </row>
    <row r="558" spans="1:14" x14ac:dyDescent="0.3">
      <c r="A558" t="s">
        <v>570</v>
      </c>
      <c r="B558" s="3">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3">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3">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3">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3">
        <v>44957</v>
      </c>
      <c r="C562" t="s">
        <v>1774</v>
      </c>
      <c r="D562" t="s">
        <v>2403</v>
      </c>
      <c r="E562">
        <v>4</v>
      </c>
      <c r="F562">
        <v>588.85</v>
      </c>
      <c r="G562" t="s">
        <v>2820</v>
      </c>
      <c r="H562" t="s">
        <v>3068</v>
      </c>
      <c r="I562" t="s">
        <v>3074</v>
      </c>
      <c r="J562" t="s">
        <v>3635</v>
      </c>
      <c r="K562">
        <v>7</v>
      </c>
      <c r="L562" t="s">
        <v>4283</v>
      </c>
      <c r="M562" t="s">
        <v>4280</v>
      </c>
      <c r="N562">
        <v>2355.4</v>
      </c>
    </row>
    <row r="563" spans="1:14" x14ac:dyDescent="0.3">
      <c r="A563" t="s">
        <v>575</v>
      </c>
      <c r="B563" s="3">
        <v>44957</v>
      </c>
      <c r="C563" t="s">
        <v>1775</v>
      </c>
      <c r="D563" t="s">
        <v>2407</v>
      </c>
      <c r="E563">
        <v>2</v>
      </c>
      <c r="F563">
        <v>494.78</v>
      </c>
      <c r="G563" t="s">
        <v>2821</v>
      </c>
      <c r="H563" t="s">
        <v>3066</v>
      </c>
      <c r="I563" t="s">
        <v>3070</v>
      </c>
      <c r="J563" t="s">
        <v>3636</v>
      </c>
      <c r="K563">
        <v>2</v>
      </c>
      <c r="L563" t="s">
        <v>4283</v>
      </c>
      <c r="M563" t="s">
        <v>4282</v>
      </c>
      <c r="N563">
        <v>989.56</v>
      </c>
    </row>
    <row r="564" spans="1:14" x14ac:dyDescent="0.3">
      <c r="A564" t="s">
        <v>576</v>
      </c>
      <c r="B564" s="3">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3">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3">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3">
        <v>45060</v>
      </c>
      <c r="C567" t="s">
        <v>1779</v>
      </c>
      <c r="D567" t="s">
        <v>2405</v>
      </c>
      <c r="E567">
        <v>5</v>
      </c>
      <c r="F567">
        <v>307.98</v>
      </c>
      <c r="G567" t="s">
        <v>2770</v>
      </c>
      <c r="H567" t="s">
        <v>3066</v>
      </c>
      <c r="I567" t="s">
        <v>3074</v>
      </c>
      <c r="J567" t="s">
        <v>3640</v>
      </c>
      <c r="K567">
        <v>10</v>
      </c>
      <c r="L567" t="s">
        <v>4283</v>
      </c>
      <c r="M567" t="s">
        <v>4281</v>
      </c>
      <c r="N567">
        <v>1539.9</v>
      </c>
    </row>
    <row r="568" spans="1:14" x14ac:dyDescent="0.3">
      <c r="A568" t="s">
        <v>580</v>
      </c>
      <c r="B568" s="3">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3">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3">
        <v>44995</v>
      </c>
      <c r="C570" t="s">
        <v>1782</v>
      </c>
      <c r="D570" t="s">
        <v>2408</v>
      </c>
      <c r="E570">
        <v>2</v>
      </c>
      <c r="F570">
        <v>343.99</v>
      </c>
      <c r="G570" t="s">
        <v>2714</v>
      </c>
      <c r="H570" t="s">
        <v>3066</v>
      </c>
      <c r="I570" t="s">
        <v>3073</v>
      </c>
      <c r="J570" t="s">
        <v>3643</v>
      </c>
      <c r="K570">
        <v>4</v>
      </c>
      <c r="L570" t="s">
        <v>4283</v>
      </c>
      <c r="M570" t="s">
        <v>4282</v>
      </c>
      <c r="N570">
        <v>687.98</v>
      </c>
    </row>
    <row r="571" spans="1:14" x14ac:dyDescent="0.3">
      <c r="A571" t="s">
        <v>583</v>
      </c>
      <c r="B571" s="3">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3">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3">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3">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3">
        <v>44951</v>
      </c>
      <c r="C575" t="s">
        <v>1787</v>
      </c>
      <c r="D575" t="s">
        <v>2406</v>
      </c>
      <c r="E575">
        <v>5</v>
      </c>
      <c r="F575">
        <v>421.42</v>
      </c>
      <c r="G575" t="s">
        <v>2511</v>
      </c>
      <c r="H575" t="s">
        <v>3065</v>
      </c>
      <c r="I575" t="s">
        <v>3071</v>
      </c>
      <c r="J575" t="s">
        <v>3648</v>
      </c>
      <c r="K575">
        <v>7</v>
      </c>
      <c r="L575" t="s">
        <v>4283</v>
      </c>
      <c r="M575" t="s">
        <v>4278</v>
      </c>
      <c r="N575">
        <v>2107.1</v>
      </c>
    </row>
    <row r="576" spans="1:14" x14ac:dyDescent="0.3">
      <c r="A576" t="s">
        <v>588</v>
      </c>
      <c r="B576" s="3">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3">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3">
        <v>45441</v>
      </c>
      <c r="C578" t="s">
        <v>1790</v>
      </c>
      <c r="D578" t="s">
        <v>2408</v>
      </c>
      <c r="E578">
        <v>5</v>
      </c>
      <c r="F578">
        <v>79.08</v>
      </c>
      <c r="G578" t="s">
        <v>2710</v>
      </c>
      <c r="H578" t="s">
        <v>3069</v>
      </c>
      <c r="I578" t="s">
        <v>3074</v>
      </c>
      <c r="J578" t="s">
        <v>3651</v>
      </c>
      <c r="K578">
        <v>8</v>
      </c>
      <c r="L578" t="s">
        <v>4283</v>
      </c>
      <c r="M578" t="s">
        <v>4281</v>
      </c>
      <c r="N578">
        <v>395.4</v>
      </c>
    </row>
    <row r="579" spans="1:14" x14ac:dyDescent="0.3">
      <c r="A579" t="s">
        <v>591</v>
      </c>
      <c r="B579" s="3">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3">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3">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3">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3">
        <v>45607</v>
      </c>
      <c r="C583" t="s">
        <v>1795</v>
      </c>
      <c r="D583" t="s">
        <v>2408</v>
      </c>
      <c r="E583">
        <v>1</v>
      </c>
      <c r="F583">
        <v>627.34</v>
      </c>
      <c r="G583" t="s">
        <v>2425</v>
      </c>
      <c r="H583" t="s">
        <v>3066</v>
      </c>
      <c r="I583" t="s">
        <v>3073</v>
      </c>
      <c r="J583" t="s">
        <v>3656</v>
      </c>
      <c r="K583">
        <v>1</v>
      </c>
      <c r="L583" t="s">
        <v>4283</v>
      </c>
      <c r="M583" t="s">
        <v>4279</v>
      </c>
      <c r="N583">
        <v>627.34</v>
      </c>
    </row>
    <row r="584" spans="1:14" x14ac:dyDescent="0.3">
      <c r="A584" t="s">
        <v>596</v>
      </c>
      <c r="B584" s="3">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3">
        <v>45823</v>
      </c>
      <c r="C585" t="s">
        <v>1797</v>
      </c>
      <c r="D585" t="s">
        <v>2406</v>
      </c>
      <c r="E585">
        <v>3</v>
      </c>
      <c r="F585">
        <v>154.37</v>
      </c>
      <c r="G585" t="s">
        <v>2441</v>
      </c>
      <c r="H585" t="s">
        <v>3068</v>
      </c>
      <c r="I585" t="s">
        <v>3073</v>
      </c>
      <c r="J585" t="s">
        <v>3658</v>
      </c>
      <c r="K585">
        <v>4</v>
      </c>
      <c r="L585" t="s">
        <v>4283</v>
      </c>
      <c r="M585" t="s">
        <v>4278</v>
      </c>
      <c r="N585">
        <v>463.11</v>
      </c>
    </row>
    <row r="586" spans="1:14" x14ac:dyDescent="0.3">
      <c r="A586" t="s">
        <v>598</v>
      </c>
      <c r="B586" s="3">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3">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3">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3">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3">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x14ac:dyDescent="0.3">
      <c r="A591" t="s">
        <v>603</v>
      </c>
      <c r="B591" s="3">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3">
        <v>45179</v>
      </c>
      <c r="C592" t="s">
        <v>1804</v>
      </c>
      <c r="D592" t="s">
        <v>2407</v>
      </c>
      <c r="E592">
        <v>2</v>
      </c>
      <c r="F592">
        <v>461.13</v>
      </c>
      <c r="G592" t="s">
        <v>2831</v>
      </c>
      <c r="H592" t="s">
        <v>3068</v>
      </c>
      <c r="I592" t="s">
        <v>3072</v>
      </c>
      <c r="J592" t="s">
        <v>3665</v>
      </c>
      <c r="K592">
        <v>4</v>
      </c>
      <c r="L592" t="s">
        <v>4283</v>
      </c>
      <c r="M592" t="s">
        <v>4280</v>
      </c>
      <c r="N592">
        <v>922.26</v>
      </c>
    </row>
    <row r="593" spans="1:14" x14ac:dyDescent="0.3">
      <c r="A593" t="s">
        <v>605</v>
      </c>
      <c r="B593" s="3">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3">
        <v>45405</v>
      </c>
      <c r="C594" t="s">
        <v>1806</v>
      </c>
      <c r="D594" t="s">
        <v>2404</v>
      </c>
      <c r="E594">
        <v>3</v>
      </c>
      <c r="F594">
        <v>204.27</v>
      </c>
      <c r="G594" t="s">
        <v>2803</v>
      </c>
      <c r="H594" t="s">
        <v>3066</v>
      </c>
      <c r="I594" t="s">
        <v>3072</v>
      </c>
      <c r="J594" t="s">
        <v>3667</v>
      </c>
      <c r="K594">
        <v>4</v>
      </c>
      <c r="L594" t="s">
        <v>4283</v>
      </c>
      <c r="M594" t="s">
        <v>4282</v>
      </c>
      <c r="N594">
        <v>612.81000000000006</v>
      </c>
    </row>
    <row r="595" spans="1:14" x14ac:dyDescent="0.3">
      <c r="A595" t="s">
        <v>607</v>
      </c>
      <c r="B595" s="3">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3">
        <v>45343</v>
      </c>
      <c r="C596" t="s">
        <v>1808</v>
      </c>
      <c r="D596" t="s">
        <v>2404</v>
      </c>
      <c r="E596">
        <v>5</v>
      </c>
      <c r="F596">
        <v>72.64</v>
      </c>
      <c r="G596" t="s">
        <v>2538</v>
      </c>
      <c r="H596" t="s">
        <v>3067</v>
      </c>
      <c r="I596" t="s">
        <v>3071</v>
      </c>
      <c r="J596" t="s">
        <v>3669</v>
      </c>
      <c r="K596">
        <v>7</v>
      </c>
      <c r="L596" t="s">
        <v>4283</v>
      </c>
      <c r="M596" t="s">
        <v>4280</v>
      </c>
      <c r="N596">
        <v>363.2</v>
      </c>
    </row>
    <row r="597" spans="1:14" x14ac:dyDescent="0.3">
      <c r="A597" t="s">
        <v>609</v>
      </c>
      <c r="B597" s="3">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3">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3">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3">
        <v>45408</v>
      </c>
      <c r="C600" t="s">
        <v>1812</v>
      </c>
      <c r="D600" t="s">
        <v>2409</v>
      </c>
      <c r="E600">
        <v>5</v>
      </c>
      <c r="F600">
        <v>495.35</v>
      </c>
      <c r="G600" t="s">
        <v>2693</v>
      </c>
      <c r="H600" t="s">
        <v>3067</v>
      </c>
      <c r="I600" t="s">
        <v>3074</v>
      </c>
      <c r="J600" t="s">
        <v>3673</v>
      </c>
      <c r="K600">
        <v>5</v>
      </c>
      <c r="L600" t="s">
        <v>4283</v>
      </c>
      <c r="M600" t="s">
        <v>4281</v>
      </c>
      <c r="N600">
        <v>2476.75</v>
      </c>
    </row>
    <row r="601" spans="1:14" x14ac:dyDescent="0.3">
      <c r="A601" t="s">
        <v>613</v>
      </c>
      <c r="B601" s="3">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3">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3">
        <v>45201</v>
      </c>
      <c r="C603" t="s">
        <v>1815</v>
      </c>
      <c r="D603" t="s">
        <v>2403</v>
      </c>
      <c r="E603">
        <v>5</v>
      </c>
      <c r="F603">
        <v>24.82</v>
      </c>
      <c r="G603" t="s">
        <v>2836</v>
      </c>
      <c r="H603" t="s">
        <v>3067</v>
      </c>
      <c r="I603" t="s">
        <v>3070</v>
      </c>
      <c r="J603" t="s">
        <v>3676</v>
      </c>
      <c r="K603">
        <v>10</v>
      </c>
      <c r="L603" t="s">
        <v>4283</v>
      </c>
      <c r="M603" t="s">
        <v>4279</v>
      </c>
      <c r="N603">
        <v>124.1</v>
      </c>
    </row>
    <row r="604" spans="1:14" x14ac:dyDescent="0.3">
      <c r="A604" t="s">
        <v>616</v>
      </c>
      <c r="B604" s="3">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3">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3">
        <v>45830</v>
      </c>
      <c r="C606" t="s">
        <v>1817</v>
      </c>
      <c r="D606" t="s">
        <v>2406</v>
      </c>
      <c r="E606">
        <v>3</v>
      </c>
      <c r="F606">
        <v>32.619999999999997</v>
      </c>
      <c r="G606" t="s">
        <v>2661</v>
      </c>
      <c r="H606" t="s">
        <v>3065</v>
      </c>
      <c r="I606" t="s">
        <v>3073</v>
      </c>
      <c r="J606" t="s">
        <v>3679</v>
      </c>
      <c r="K606">
        <v>6</v>
      </c>
      <c r="L606" t="s">
        <v>4283</v>
      </c>
      <c r="M606" t="s">
        <v>4281</v>
      </c>
      <c r="N606">
        <v>97.859999999999985</v>
      </c>
    </row>
    <row r="607" spans="1:14" x14ac:dyDescent="0.3">
      <c r="A607" t="s">
        <v>619</v>
      </c>
      <c r="B607" s="3">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3">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3">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3">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3">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3">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3">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3">
        <v>45079</v>
      </c>
      <c r="C614" t="s">
        <v>1825</v>
      </c>
      <c r="D614" t="s">
        <v>2406</v>
      </c>
      <c r="E614">
        <v>3</v>
      </c>
      <c r="F614">
        <v>445.12</v>
      </c>
      <c r="G614" t="s">
        <v>2678</v>
      </c>
      <c r="H614" t="s">
        <v>3068</v>
      </c>
      <c r="I614" t="s">
        <v>3071</v>
      </c>
      <c r="J614" t="s">
        <v>3687</v>
      </c>
      <c r="K614">
        <v>8</v>
      </c>
      <c r="L614" t="s">
        <v>4283</v>
      </c>
      <c r="M614" t="s">
        <v>4282</v>
      </c>
      <c r="N614">
        <v>1335.36</v>
      </c>
    </row>
    <row r="615" spans="1:14" x14ac:dyDescent="0.3">
      <c r="A615" t="s">
        <v>627</v>
      </c>
      <c r="B615" s="3">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3">
        <v>45359</v>
      </c>
      <c r="C616" t="s">
        <v>1827</v>
      </c>
      <c r="D616" t="s">
        <v>2404</v>
      </c>
      <c r="E616">
        <v>1</v>
      </c>
      <c r="F616">
        <v>96.81</v>
      </c>
      <c r="G616" t="s">
        <v>2521</v>
      </c>
      <c r="H616" t="s">
        <v>3068</v>
      </c>
      <c r="I616" t="s">
        <v>3071</v>
      </c>
      <c r="J616" t="s">
        <v>3689</v>
      </c>
      <c r="K616">
        <v>3</v>
      </c>
      <c r="L616" t="s">
        <v>4283</v>
      </c>
      <c r="M616" t="s">
        <v>4279</v>
      </c>
      <c r="N616">
        <v>96.81</v>
      </c>
    </row>
    <row r="617" spans="1:14" x14ac:dyDescent="0.3">
      <c r="A617" t="s">
        <v>629</v>
      </c>
      <c r="B617" s="3">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3">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3">
        <v>45330</v>
      </c>
      <c r="C619" t="s">
        <v>1830</v>
      </c>
      <c r="D619" t="s">
        <v>2405</v>
      </c>
      <c r="E619">
        <v>3</v>
      </c>
      <c r="F619">
        <v>184.47</v>
      </c>
      <c r="G619" t="s">
        <v>2844</v>
      </c>
      <c r="H619" t="s">
        <v>3066</v>
      </c>
      <c r="I619" t="s">
        <v>3071</v>
      </c>
      <c r="J619" t="s">
        <v>3692</v>
      </c>
      <c r="K619">
        <v>4</v>
      </c>
      <c r="L619" t="s">
        <v>4283</v>
      </c>
      <c r="M619" t="s">
        <v>4279</v>
      </c>
      <c r="N619">
        <v>553.41</v>
      </c>
    </row>
    <row r="620" spans="1:14" x14ac:dyDescent="0.3">
      <c r="A620" t="s">
        <v>632</v>
      </c>
      <c r="B620" s="3">
        <v>45538</v>
      </c>
      <c r="C620" t="s">
        <v>1831</v>
      </c>
      <c r="D620" t="s">
        <v>2405</v>
      </c>
      <c r="E620">
        <v>1</v>
      </c>
      <c r="F620">
        <v>411.34</v>
      </c>
      <c r="G620" t="s">
        <v>2845</v>
      </c>
      <c r="H620" t="s">
        <v>3065</v>
      </c>
      <c r="I620" t="s">
        <v>3072</v>
      </c>
      <c r="J620" t="s">
        <v>3693</v>
      </c>
      <c r="K620">
        <v>5</v>
      </c>
      <c r="L620" t="s">
        <v>4283</v>
      </c>
      <c r="M620" t="s">
        <v>4278</v>
      </c>
      <c r="N620">
        <v>411.34</v>
      </c>
    </row>
    <row r="621" spans="1:14" x14ac:dyDescent="0.3">
      <c r="A621" t="s">
        <v>633</v>
      </c>
      <c r="B621" s="3">
        <v>45489</v>
      </c>
      <c r="C621" t="s">
        <v>1832</v>
      </c>
      <c r="D621" t="s">
        <v>2408</v>
      </c>
      <c r="E621">
        <v>1</v>
      </c>
      <c r="F621">
        <v>532.89</v>
      </c>
      <c r="G621" t="s">
        <v>2783</v>
      </c>
      <c r="H621" t="s">
        <v>3068</v>
      </c>
      <c r="I621" t="s">
        <v>3074</v>
      </c>
      <c r="J621" t="s">
        <v>3694</v>
      </c>
      <c r="K621">
        <v>2</v>
      </c>
      <c r="L621" t="s">
        <v>4283</v>
      </c>
      <c r="M621" t="s">
        <v>4279</v>
      </c>
      <c r="N621">
        <v>532.89</v>
      </c>
    </row>
    <row r="622" spans="1:14" x14ac:dyDescent="0.3">
      <c r="A622" t="s">
        <v>634</v>
      </c>
      <c r="B622" s="3">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3">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3">
        <v>45598</v>
      </c>
      <c r="C624" t="s">
        <v>1835</v>
      </c>
      <c r="D624" t="s">
        <v>2409</v>
      </c>
      <c r="E624">
        <v>5</v>
      </c>
      <c r="F624">
        <v>236.38</v>
      </c>
      <c r="G624" t="s">
        <v>2445</v>
      </c>
      <c r="H624" t="s">
        <v>3067</v>
      </c>
      <c r="I624" t="s">
        <v>3072</v>
      </c>
      <c r="J624" t="s">
        <v>3697</v>
      </c>
      <c r="K624">
        <v>7</v>
      </c>
      <c r="L624" t="s">
        <v>4283</v>
      </c>
      <c r="M624" t="s">
        <v>4281</v>
      </c>
      <c r="N624">
        <v>1181.9000000000001</v>
      </c>
    </row>
    <row r="625" spans="1:14" x14ac:dyDescent="0.3">
      <c r="A625" t="s">
        <v>637</v>
      </c>
      <c r="B625" s="3">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3">
        <v>45307</v>
      </c>
      <c r="C626" t="s">
        <v>1837</v>
      </c>
      <c r="D626" t="s">
        <v>2405</v>
      </c>
      <c r="E626">
        <v>5</v>
      </c>
      <c r="F626">
        <v>341.96</v>
      </c>
      <c r="G626" t="s">
        <v>2710</v>
      </c>
      <c r="H626" t="s">
        <v>3065</v>
      </c>
      <c r="I626" t="s">
        <v>3073</v>
      </c>
      <c r="J626" t="s">
        <v>3699</v>
      </c>
      <c r="K626">
        <v>6</v>
      </c>
      <c r="L626" t="s">
        <v>4283</v>
      </c>
      <c r="M626" t="s">
        <v>4280</v>
      </c>
      <c r="N626">
        <v>1709.8</v>
      </c>
    </row>
    <row r="627" spans="1:14" x14ac:dyDescent="0.3">
      <c r="A627" t="s">
        <v>639</v>
      </c>
      <c r="B627" s="3">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3">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3">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3">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3">
        <v>45114</v>
      </c>
      <c r="C631" t="s">
        <v>1842</v>
      </c>
      <c r="D631" t="s">
        <v>2404</v>
      </c>
      <c r="E631">
        <v>3</v>
      </c>
      <c r="F631">
        <v>19.73</v>
      </c>
      <c r="G631" t="s">
        <v>2850</v>
      </c>
      <c r="H631" t="s">
        <v>3066</v>
      </c>
      <c r="I631" t="s">
        <v>3074</v>
      </c>
      <c r="J631" t="s">
        <v>3704</v>
      </c>
      <c r="K631">
        <v>3</v>
      </c>
      <c r="L631" t="s">
        <v>4283</v>
      </c>
      <c r="M631" t="s">
        <v>4279</v>
      </c>
      <c r="N631">
        <v>59.19</v>
      </c>
    </row>
    <row r="632" spans="1:14" x14ac:dyDescent="0.3">
      <c r="A632" t="s">
        <v>644</v>
      </c>
      <c r="B632" s="3">
        <v>45100</v>
      </c>
      <c r="C632" t="s">
        <v>1843</v>
      </c>
      <c r="D632" t="s">
        <v>2403</v>
      </c>
      <c r="E632">
        <v>5</v>
      </c>
      <c r="F632">
        <v>248.84</v>
      </c>
      <c r="G632" t="s">
        <v>2851</v>
      </c>
      <c r="H632" t="s">
        <v>3065</v>
      </c>
      <c r="I632" t="s">
        <v>3071</v>
      </c>
      <c r="J632" t="s">
        <v>3705</v>
      </c>
      <c r="K632">
        <v>10</v>
      </c>
      <c r="L632" t="s">
        <v>4283</v>
      </c>
      <c r="M632" t="s">
        <v>4278</v>
      </c>
      <c r="N632">
        <v>1244.2</v>
      </c>
    </row>
    <row r="633" spans="1:14" x14ac:dyDescent="0.3">
      <c r="A633" t="s">
        <v>645</v>
      </c>
      <c r="B633" s="3">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3">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3">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3">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3">
        <v>45273</v>
      </c>
      <c r="C637" t="s">
        <v>1848</v>
      </c>
      <c r="D637" t="s">
        <v>2406</v>
      </c>
      <c r="E637">
        <v>3</v>
      </c>
      <c r="F637">
        <v>63.68</v>
      </c>
      <c r="G637" t="s">
        <v>2458</v>
      </c>
      <c r="H637" t="s">
        <v>3069</v>
      </c>
      <c r="I637" t="s">
        <v>3072</v>
      </c>
      <c r="J637" t="s">
        <v>3710</v>
      </c>
      <c r="K637">
        <v>6</v>
      </c>
      <c r="L637" t="s">
        <v>4283</v>
      </c>
      <c r="M637" t="s">
        <v>4281</v>
      </c>
      <c r="N637">
        <v>191.04</v>
      </c>
    </row>
    <row r="638" spans="1:14" x14ac:dyDescent="0.3">
      <c r="A638" t="s">
        <v>650</v>
      </c>
      <c r="B638" s="3">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3">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3">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3">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x14ac:dyDescent="0.3">
      <c r="A642" t="s">
        <v>654</v>
      </c>
      <c r="B642" s="3">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3">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3">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3">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3">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3">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3">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3">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3">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3">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3">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3">
        <v>45608</v>
      </c>
      <c r="C653" t="s">
        <v>1864</v>
      </c>
      <c r="D653" t="s">
        <v>2406</v>
      </c>
      <c r="E653">
        <v>3</v>
      </c>
      <c r="F653">
        <v>646.34</v>
      </c>
      <c r="G653" t="s">
        <v>2584</v>
      </c>
      <c r="H653" t="s">
        <v>3065</v>
      </c>
      <c r="I653" t="s">
        <v>3074</v>
      </c>
      <c r="J653" t="s">
        <v>3726</v>
      </c>
      <c r="K653">
        <v>5</v>
      </c>
      <c r="L653" t="s">
        <v>4283</v>
      </c>
      <c r="M653" t="s">
        <v>4282</v>
      </c>
      <c r="N653">
        <v>1939.02</v>
      </c>
    </row>
    <row r="654" spans="1:14" x14ac:dyDescent="0.3">
      <c r="A654" t="s">
        <v>666</v>
      </c>
      <c r="B654" s="3">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3">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3">
        <v>45089</v>
      </c>
      <c r="C656" t="s">
        <v>1867</v>
      </c>
      <c r="D656" t="s">
        <v>2405</v>
      </c>
      <c r="E656">
        <v>3</v>
      </c>
      <c r="F656">
        <v>382.37</v>
      </c>
      <c r="G656" t="s">
        <v>2861</v>
      </c>
      <c r="H656" t="s">
        <v>3065</v>
      </c>
      <c r="I656" t="s">
        <v>3072</v>
      </c>
      <c r="J656" t="s">
        <v>3729</v>
      </c>
      <c r="K656">
        <v>8</v>
      </c>
      <c r="L656" t="s">
        <v>4283</v>
      </c>
      <c r="M656" t="s">
        <v>4278</v>
      </c>
      <c r="N656">
        <v>1147.1099999999999</v>
      </c>
    </row>
    <row r="657" spans="1:14" x14ac:dyDescent="0.3">
      <c r="A657" t="s">
        <v>669</v>
      </c>
      <c r="B657" s="3">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3">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3">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3">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3">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3">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3">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3">
        <v>44954</v>
      </c>
      <c r="C664" t="s">
        <v>1875</v>
      </c>
      <c r="D664" t="s">
        <v>2408</v>
      </c>
      <c r="E664">
        <v>3</v>
      </c>
      <c r="F664">
        <v>438.89</v>
      </c>
      <c r="G664" t="s">
        <v>2864</v>
      </c>
      <c r="H664" t="s">
        <v>3069</v>
      </c>
      <c r="I664" t="s">
        <v>3072</v>
      </c>
      <c r="J664" t="s">
        <v>3737</v>
      </c>
      <c r="K664">
        <v>3</v>
      </c>
      <c r="L664" t="s">
        <v>4283</v>
      </c>
      <c r="M664" t="s">
        <v>4281</v>
      </c>
      <c r="N664">
        <v>1316.67</v>
      </c>
    </row>
    <row r="665" spans="1:14" x14ac:dyDescent="0.3">
      <c r="A665" t="s">
        <v>677</v>
      </c>
      <c r="B665" s="3">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3">
        <v>45645</v>
      </c>
      <c r="C666" t="s">
        <v>1450</v>
      </c>
      <c r="D666" t="s">
        <v>2408</v>
      </c>
      <c r="E666">
        <v>4</v>
      </c>
      <c r="F666">
        <v>194.75</v>
      </c>
      <c r="G666" t="s">
        <v>2865</v>
      </c>
      <c r="H666" t="s">
        <v>3069</v>
      </c>
      <c r="I666" t="s">
        <v>3070</v>
      </c>
      <c r="J666" t="s">
        <v>3739</v>
      </c>
      <c r="K666">
        <v>5</v>
      </c>
      <c r="L666" t="s">
        <v>4283</v>
      </c>
      <c r="M666" t="s">
        <v>4281</v>
      </c>
      <c r="N666">
        <v>779</v>
      </c>
    </row>
    <row r="667" spans="1:14" x14ac:dyDescent="0.3">
      <c r="A667" t="s">
        <v>679</v>
      </c>
      <c r="B667" s="3">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3">
        <v>45535</v>
      </c>
      <c r="C668" t="s">
        <v>1878</v>
      </c>
      <c r="D668" t="s">
        <v>2403</v>
      </c>
      <c r="E668">
        <v>4</v>
      </c>
      <c r="F668">
        <v>327.12</v>
      </c>
      <c r="G668" t="s">
        <v>2840</v>
      </c>
      <c r="H668" t="s">
        <v>3067</v>
      </c>
      <c r="I668" t="s">
        <v>3071</v>
      </c>
      <c r="J668" t="s">
        <v>3741</v>
      </c>
      <c r="K668">
        <v>4</v>
      </c>
      <c r="L668" t="s">
        <v>4283</v>
      </c>
      <c r="M668" t="s">
        <v>4280</v>
      </c>
      <c r="N668">
        <v>1308.48</v>
      </c>
    </row>
    <row r="669" spans="1:14" x14ac:dyDescent="0.3">
      <c r="A669" t="s">
        <v>681</v>
      </c>
      <c r="B669" s="3">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3">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3">
        <v>44962</v>
      </c>
      <c r="C671" t="s">
        <v>1881</v>
      </c>
      <c r="D671" t="s">
        <v>2409</v>
      </c>
      <c r="E671">
        <v>1</v>
      </c>
      <c r="F671">
        <v>257</v>
      </c>
      <c r="G671" t="s">
        <v>2867</v>
      </c>
      <c r="H671" t="s">
        <v>3065</v>
      </c>
      <c r="I671" t="s">
        <v>3071</v>
      </c>
      <c r="J671" t="s">
        <v>3744</v>
      </c>
      <c r="K671">
        <v>5</v>
      </c>
      <c r="L671" t="s">
        <v>4283</v>
      </c>
      <c r="M671" t="s">
        <v>4279</v>
      </c>
      <c r="N671">
        <v>257</v>
      </c>
    </row>
    <row r="672" spans="1:14" x14ac:dyDescent="0.3">
      <c r="A672" t="s">
        <v>684</v>
      </c>
      <c r="B672" s="3">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3">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3">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3">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3">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3">
        <v>45510</v>
      </c>
      <c r="C677" t="s">
        <v>1887</v>
      </c>
      <c r="D677" t="s">
        <v>2409</v>
      </c>
      <c r="E677">
        <v>3</v>
      </c>
      <c r="F677">
        <v>342.02</v>
      </c>
      <c r="G677" t="s">
        <v>2807</v>
      </c>
      <c r="H677" t="s">
        <v>3065</v>
      </c>
      <c r="I677" t="s">
        <v>3074</v>
      </c>
      <c r="J677" t="s">
        <v>3750</v>
      </c>
      <c r="K677">
        <v>5</v>
      </c>
      <c r="L677" t="s">
        <v>4283</v>
      </c>
      <c r="M677" t="s">
        <v>4280</v>
      </c>
      <c r="N677">
        <v>1026.06</v>
      </c>
    </row>
    <row r="678" spans="1:14" x14ac:dyDescent="0.3">
      <c r="A678" t="s">
        <v>690</v>
      </c>
      <c r="B678" s="3">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3">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3">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3">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3">
        <v>45165</v>
      </c>
      <c r="C682" t="s">
        <v>1892</v>
      </c>
      <c r="D682" t="s">
        <v>2403</v>
      </c>
      <c r="E682">
        <v>3</v>
      </c>
      <c r="F682">
        <v>463.39</v>
      </c>
      <c r="G682" t="s">
        <v>2869</v>
      </c>
      <c r="H682" t="s">
        <v>3067</v>
      </c>
      <c r="I682" t="s">
        <v>3072</v>
      </c>
      <c r="J682" t="s">
        <v>3755</v>
      </c>
      <c r="K682">
        <v>3</v>
      </c>
      <c r="L682" t="s">
        <v>4283</v>
      </c>
      <c r="M682" t="s">
        <v>4281</v>
      </c>
      <c r="N682">
        <v>1390.17</v>
      </c>
    </row>
    <row r="683" spans="1:14" x14ac:dyDescent="0.3">
      <c r="A683" t="s">
        <v>695</v>
      </c>
      <c r="B683" s="3">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x14ac:dyDescent="0.3">
      <c r="A684" t="s">
        <v>696</v>
      </c>
      <c r="B684" s="3">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3">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3">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x14ac:dyDescent="0.3">
      <c r="A687" t="s">
        <v>699</v>
      </c>
      <c r="B687" s="3">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3">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3">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3">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3">
        <v>45167</v>
      </c>
      <c r="C691" t="s">
        <v>1901</v>
      </c>
      <c r="D691" t="s">
        <v>2405</v>
      </c>
      <c r="E691">
        <v>2</v>
      </c>
      <c r="F691">
        <v>444.84</v>
      </c>
      <c r="G691" t="s">
        <v>2876</v>
      </c>
      <c r="H691" t="s">
        <v>3066</v>
      </c>
      <c r="I691" t="s">
        <v>3070</v>
      </c>
      <c r="J691" t="s">
        <v>3764</v>
      </c>
      <c r="K691">
        <v>7</v>
      </c>
      <c r="L691" t="s">
        <v>4283</v>
      </c>
      <c r="M691" t="s">
        <v>4281</v>
      </c>
      <c r="N691">
        <v>889.68</v>
      </c>
    </row>
    <row r="692" spans="1:14" x14ac:dyDescent="0.3">
      <c r="A692" t="s">
        <v>704</v>
      </c>
      <c r="B692" s="3">
        <v>45485</v>
      </c>
      <c r="C692" t="s">
        <v>1902</v>
      </c>
      <c r="D692" t="s">
        <v>2403</v>
      </c>
      <c r="E692">
        <v>1</v>
      </c>
      <c r="F692">
        <v>24.48</v>
      </c>
      <c r="G692" t="s">
        <v>2445</v>
      </c>
      <c r="H692" t="s">
        <v>3068</v>
      </c>
      <c r="I692" t="s">
        <v>3072</v>
      </c>
      <c r="J692" t="s">
        <v>3765</v>
      </c>
      <c r="K692">
        <v>1</v>
      </c>
      <c r="L692" t="s">
        <v>4283</v>
      </c>
      <c r="M692" t="s">
        <v>4278</v>
      </c>
      <c r="N692">
        <v>24.48</v>
      </c>
    </row>
    <row r="693" spans="1:14" x14ac:dyDescent="0.3">
      <c r="A693" t="s">
        <v>705</v>
      </c>
      <c r="B693" s="3">
        <v>45620</v>
      </c>
      <c r="C693" t="s">
        <v>1903</v>
      </c>
      <c r="D693" t="s">
        <v>2408</v>
      </c>
      <c r="E693">
        <v>3</v>
      </c>
      <c r="F693">
        <v>239.08</v>
      </c>
      <c r="G693" t="s">
        <v>2877</v>
      </c>
      <c r="H693" t="s">
        <v>3069</v>
      </c>
      <c r="I693" t="s">
        <v>3070</v>
      </c>
      <c r="J693" t="s">
        <v>3766</v>
      </c>
      <c r="K693">
        <v>8</v>
      </c>
      <c r="L693" t="s">
        <v>4283</v>
      </c>
      <c r="M693" t="s">
        <v>4282</v>
      </c>
      <c r="N693">
        <v>717.24</v>
      </c>
    </row>
    <row r="694" spans="1:14" x14ac:dyDescent="0.3">
      <c r="A694" t="s">
        <v>706</v>
      </c>
      <c r="B694" s="3">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3">
        <v>45728</v>
      </c>
      <c r="C695" t="s">
        <v>1905</v>
      </c>
      <c r="D695" t="s">
        <v>2403</v>
      </c>
      <c r="E695">
        <v>1</v>
      </c>
      <c r="F695">
        <v>176.58</v>
      </c>
      <c r="G695" t="s">
        <v>2878</v>
      </c>
      <c r="H695" t="s">
        <v>3065</v>
      </c>
      <c r="I695" t="s">
        <v>3072</v>
      </c>
      <c r="J695" t="s">
        <v>3768</v>
      </c>
      <c r="K695">
        <v>4</v>
      </c>
      <c r="L695" t="s">
        <v>4283</v>
      </c>
      <c r="M695" t="s">
        <v>4279</v>
      </c>
      <c r="N695">
        <v>176.58</v>
      </c>
    </row>
    <row r="696" spans="1:14" x14ac:dyDescent="0.3">
      <c r="A696" t="s">
        <v>708</v>
      </c>
      <c r="B696" s="3">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3">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3">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3">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3">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3">
        <v>45243</v>
      </c>
      <c r="C701" t="s">
        <v>1911</v>
      </c>
      <c r="D701" t="s">
        <v>2408</v>
      </c>
      <c r="E701">
        <v>3</v>
      </c>
      <c r="F701">
        <v>614.15</v>
      </c>
      <c r="G701" t="s">
        <v>2880</v>
      </c>
      <c r="H701" t="s">
        <v>3068</v>
      </c>
      <c r="I701" t="s">
        <v>3071</v>
      </c>
      <c r="J701" t="s">
        <v>3774</v>
      </c>
      <c r="K701">
        <v>3</v>
      </c>
      <c r="L701" t="s">
        <v>4283</v>
      </c>
      <c r="M701" t="s">
        <v>4281</v>
      </c>
      <c r="N701">
        <v>1842.45</v>
      </c>
    </row>
    <row r="702" spans="1:14" x14ac:dyDescent="0.3">
      <c r="A702" t="s">
        <v>714</v>
      </c>
      <c r="B702" s="3">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3">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3">
        <v>45452</v>
      </c>
      <c r="C704" t="s">
        <v>1914</v>
      </c>
      <c r="D704" t="s">
        <v>2407</v>
      </c>
      <c r="E704">
        <v>3</v>
      </c>
      <c r="F704">
        <v>562.54999999999995</v>
      </c>
      <c r="G704" t="s">
        <v>2842</v>
      </c>
      <c r="H704" t="s">
        <v>3065</v>
      </c>
      <c r="I704" t="s">
        <v>3072</v>
      </c>
      <c r="J704" t="s">
        <v>3777</v>
      </c>
      <c r="K704">
        <v>6</v>
      </c>
      <c r="L704" t="s">
        <v>4283</v>
      </c>
      <c r="M704" t="s">
        <v>4280</v>
      </c>
      <c r="N704">
        <v>1687.65</v>
      </c>
    </row>
    <row r="705" spans="1:14" x14ac:dyDescent="0.3">
      <c r="A705" t="s">
        <v>717</v>
      </c>
      <c r="B705" s="3">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3">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3">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3">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3">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3">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3">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3">
        <v>45495</v>
      </c>
      <c r="C712" t="s">
        <v>1922</v>
      </c>
      <c r="D712" t="s">
        <v>2408</v>
      </c>
      <c r="E712">
        <v>5</v>
      </c>
      <c r="F712">
        <v>21.54</v>
      </c>
      <c r="G712" t="s">
        <v>2885</v>
      </c>
      <c r="H712" t="s">
        <v>3068</v>
      </c>
      <c r="I712" t="s">
        <v>3072</v>
      </c>
      <c r="J712" t="s">
        <v>3785</v>
      </c>
      <c r="K712">
        <v>10</v>
      </c>
      <c r="L712" t="s">
        <v>4283</v>
      </c>
      <c r="M712" t="s">
        <v>4282</v>
      </c>
      <c r="N712">
        <v>107.7</v>
      </c>
    </row>
    <row r="713" spans="1:14" x14ac:dyDescent="0.3">
      <c r="A713" t="s">
        <v>725</v>
      </c>
      <c r="B713" s="3">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3">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3">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3">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3">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3">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3">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3">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3">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3">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3">
        <v>45369</v>
      </c>
      <c r="C723" t="s">
        <v>1932</v>
      </c>
      <c r="D723" t="s">
        <v>2409</v>
      </c>
      <c r="E723">
        <v>2</v>
      </c>
      <c r="F723">
        <v>118.59</v>
      </c>
      <c r="G723" t="s">
        <v>2893</v>
      </c>
      <c r="H723" t="s">
        <v>3067</v>
      </c>
      <c r="I723" t="s">
        <v>3073</v>
      </c>
      <c r="J723" t="s">
        <v>3796</v>
      </c>
      <c r="K723">
        <v>2</v>
      </c>
      <c r="L723" t="s">
        <v>4283</v>
      </c>
      <c r="M723" t="s">
        <v>4280</v>
      </c>
      <c r="N723">
        <v>237.18</v>
      </c>
    </row>
    <row r="724" spans="1:14" x14ac:dyDescent="0.3">
      <c r="A724" t="s">
        <v>736</v>
      </c>
      <c r="B724" s="3">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3">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3">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3">
        <v>44997</v>
      </c>
      <c r="C727" t="s">
        <v>1936</v>
      </c>
      <c r="D727" t="s">
        <v>2406</v>
      </c>
      <c r="E727">
        <v>2</v>
      </c>
      <c r="F727">
        <v>194.85</v>
      </c>
      <c r="G727" t="s">
        <v>2787</v>
      </c>
      <c r="H727" t="s">
        <v>3068</v>
      </c>
      <c r="I727" t="s">
        <v>3072</v>
      </c>
      <c r="J727" t="s">
        <v>3800</v>
      </c>
      <c r="K727">
        <v>5</v>
      </c>
      <c r="L727" t="s">
        <v>4283</v>
      </c>
      <c r="M727" t="s">
        <v>4279</v>
      </c>
      <c r="N727">
        <v>389.7</v>
      </c>
    </row>
    <row r="728" spans="1:14" x14ac:dyDescent="0.3">
      <c r="A728" t="s">
        <v>740</v>
      </c>
      <c r="B728" s="3">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3">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3">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3">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3">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3">
        <v>45450</v>
      </c>
      <c r="C733" t="s">
        <v>1942</v>
      </c>
      <c r="D733" t="s">
        <v>2407</v>
      </c>
      <c r="E733">
        <v>5</v>
      </c>
      <c r="F733">
        <v>584.46</v>
      </c>
      <c r="G733" t="s">
        <v>2896</v>
      </c>
      <c r="H733" t="s">
        <v>3067</v>
      </c>
      <c r="I733" t="s">
        <v>3072</v>
      </c>
      <c r="J733" t="s">
        <v>3806</v>
      </c>
      <c r="K733">
        <v>8</v>
      </c>
      <c r="L733" t="s">
        <v>4283</v>
      </c>
      <c r="M733" t="s">
        <v>4280</v>
      </c>
      <c r="N733">
        <v>2922.3</v>
      </c>
    </row>
    <row r="734" spans="1:14" x14ac:dyDescent="0.3">
      <c r="A734" t="s">
        <v>746</v>
      </c>
      <c r="B734" s="3">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x14ac:dyDescent="0.3">
      <c r="A735" t="s">
        <v>747</v>
      </c>
      <c r="B735" s="3">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3">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3">
        <v>45471</v>
      </c>
      <c r="C737" t="s">
        <v>1946</v>
      </c>
      <c r="D737" t="s">
        <v>2403</v>
      </c>
      <c r="E737">
        <v>4</v>
      </c>
      <c r="F737">
        <v>44.07</v>
      </c>
      <c r="G737" t="s">
        <v>2729</v>
      </c>
      <c r="H737" t="s">
        <v>3065</v>
      </c>
      <c r="I737" t="s">
        <v>3074</v>
      </c>
      <c r="J737" t="s">
        <v>3810</v>
      </c>
      <c r="K737">
        <v>6</v>
      </c>
      <c r="L737" t="s">
        <v>4283</v>
      </c>
      <c r="M737" t="s">
        <v>4280</v>
      </c>
      <c r="N737">
        <v>176.28</v>
      </c>
    </row>
    <row r="738" spans="1:14" x14ac:dyDescent="0.3">
      <c r="A738" t="s">
        <v>750</v>
      </c>
      <c r="B738" s="3">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3">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3">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3">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3">
        <v>45493</v>
      </c>
      <c r="C742" t="s">
        <v>1951</v>
      </c>
      <c r="D742" t="s">
        <v>2409</v>
      </c>
      <c r="E742">
        <v>2</v>
      </c>
      <c r="F742">
        <v>377.47</v>
      </c>
      <c r="G742" t="s">
        <v>2749</v>
      </c>
      <c r="H742" t="s">
        <v>3069</v>
      </c>
      <c r="I742" t="s">
        <v>3074</v>
      </c>
      <c r="J742" t="s">
        <v>3815</v>
      </c>
      <c r="K742">
        <v>7</v>
      </c>
      <c r="L742" t="s">
        <v>4283</v>
      </c>
      <c r="M742" t="s">
        <v>4282</v>
      </c>
      <c r="N742">
        <v>754.94</v>
      </c>
    </row>
    <row r="743" spans="1:14" x14ac:dyDescent="0.3">
      <c r="A743" t="s">
        <v>755</v>
      </c>
      <c r="B743" s="3">
        <v>45680</v>
      </c>
      <c r="C743" t="s">
        <v>1952</v>
      </c>
      <c r="D743" t="s">
        <v>2403</v>
      </c>
      <c r="E743">
        <v>5</v>
      </c>
      <c r="F743">
        <v>332.64</v>
      </c>
      <c r="G743" t="s">
        <v>2899</v>
      </c>
      <c r="H743" t="s">
        <v>3068</v>
      </c>
      <c r="I743" t="s">
        <v>3073</v>
      </c>
      <c r="J743" t="s">
        <v>3816</v>
      </c>
      <c r="K743">
        <v>10</v>
      </c>
      <c r="L743" t="s">
        <v>4283</v>
      </c>
      <c r="M743" t="s">
        <v>4279</v>
      </c>
      <c r="N743">
        <v>1663.2</v>
      </c>
    </row>
    <row r="744" spans="1:14" x14ac:dyDescent="0.3">
      <c r="A744" t="s">
        <v>756</v>
      </c>
      <c r="B744" s="3">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3">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3">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3">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3">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3">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3">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3">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3">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3">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3">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3">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3">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3">
        <v>45090</v>
      </c>
      <c r="C757" t="s">
        <v>1966</v>
      </c>
      <c r="D757" t="s">
        <v>2409</v>
      </c>
      <c r="E757">
        <v>3</v>
      </c>
      <c r="F757">
        <v>336.71</v>
      </c>
      <c r="G757" t="s">
        <v>2909</v>
      </c>
      <c r="H757" t="s">
        <v>3067</v>
      </c>
      <c r="I757" t="s">
        <v>3074</v>
      </c>
      <c r="J757" t="s">
        <v>3830</v>
      </c>
      <c r="K757">
        <v>4</v>
      </c>
      <c r="L757" t="s">
        <v>4283</v>
      </c>
      <c r="M757" t="s">
        <v>4280</v>
      </c>
      <c r="N757">
        <v>1010.13</v>
      </c>
    </row>
    <row r="758" spans="1:14" x14ac:dyDescent="0.3">
      <c r="A758" t="s">
        <v>770</v>
      </c>
      <c r="B758" s="3">
        <v>45470</v>
      </c>
      <c r="C758" t="s">
        <v>1967</v>
      </c>
      <c r="D758" t="s">
        <v>2404</v>
      </c>
      <c r="E758">
        <v>1</v>
      </c>
      <c r="F758">
        <v>283.69</v>
      </c>
      <c r="G758" t="s">
        <v>2464</v>
      </c>
      <c r="H758" t="s">
        <v>3068</v>
      </c>
      <c r="I758" t="s">
        <v>3070</v>
      </c>
      <c r="J758" t="s">
        <v>3831</v>
      </c>
      <c r="K758">
        <v>6</v>
      </c>
      <c r="L758" t="s">
        <v>4283</v>
      </c>
      <c r="M758" t="s">
        <v>4282</v>
      </c>
      <c r="N758">
        <v>283.69</v>
      </c>
    </row>
    <row r="759" spans="1:14" x14ac:dyDescent="0.3">
      <c r="A759" t="s">
        <v>771</v>
      </c>
      <c r="B759" s="3">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3">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3">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3">
        <v>45706</v>
      </c>
      <c r="C762" t="s">
        <v>1971</v>
      </c>
      <c r="D762" t="s">
        <v>2409</v>
      </c>
      <c r="E762">
        <v>1</v>
      </c>
      <c r="F762">
        <v>39.56</v>
      </c>
      <c r="G762" t="s">
        <v>2570</v>
      </c>
      <c r="H762" t="s">
        <v>3065</v>
      </c>
      <c r="I762" t="s">
        <v>3071</v>
      </c>
      <c r="J762" t="s">
        <v>3835</v>
      </c>
      <c r="K762">
        <v>5</v>
      </c>
      <c r="L762" t="s">
        <v>4283</v>
      </c>
      <c r="M762" t="s">
        <v>4282</v>
      </c>
      <c r="N762">
        <v>39.56</v>
      </c>
    </row>
    <row r="763" spans="1:14" x14ac:dyDescent="0.3">
      <c r="A763" t="s">
        <v>775</v>
      </c>
      <c r="B763" s="3">
        <v>45079</v>
      </c>
      <c r="C763" t="s">
        <v>1972</v>
      </c>
      <c r="D763" t="s">
        <v>2409</v>
      </c>
      <c r="E763">
        <v>4</v>
      </c>
      <c r="F763">
        <v>37.76</v>
      </c>
      <c r="G763" t="s">
        <v>2911</v>
      </c>
      <c r="H763" t="s">
        <v>3065</v>
      </c>
      <c r="I763" t="s">
        <v>3073</v>
      </c>
      <c r="J763" t="s">
        <v>3836</v>
      </c>
      <c r="K763">
        <v>7</v>
      </c>
      <c r="L763" t="s">
        <v>4283</v>
      </c>
      <c r="M763" t="s">
        <v>4282</v>
      </c>
      <c r="N763">
        <v>151.04</v>
      </c>
    </row>
    <row r="764" spans="1:14" x14ac:dyDescent="0.3">
      <c r="A764" t="s">
        <v>776</v>
      </c>
      <c r="B764" s="3">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3">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3">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3">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3">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3">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x14ac:dyDescent="0.3">
      <c r="A770" t="s">
        <v>782</v>
      </c>
      <c r="B770" s="3">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3">
        <v>45113</v>
      </c>
      <c r="C771" t="s">
        <v>1980</v>
      </c>
      <c r="D771" t="s">
        <v>2407</v>
      </c>
      <c r="E771">
        <v>4</v>
      </c>
      <c r="F771">
        <v>678.55</v>
      </c>
      <c r="G771" t="s">
        <v>2438</v>
      </c>
      <c r="H771" t="s">
        <v>3069</v>
      </c>
      <c r="I771" t="s">
        <v>3073</v>
      </c>
      <c r="J771" t="s">
        <v>3844</v>
      </c>
      <c r="K771">
        <v>5</v>
      </c>
      <c r="L771" t="s">
        <v>4283</v>
      </c>
      <c r="M771" t="s">
        <v>4280</v>
      </c>
      <c r="N771">
        <v>2714.2</v>
      </c>
    </row>
    <row r="772" spans="1:14" x14ac:dyDescent="0.3">
      <c r="A772" t="s">
        <v>784</v>
      </c>
      <c r="B772" s="3">
        <v>45333</v>
      </c>
      <c r="C772" t="s">
        <v>1981</v>
      </c>
      <c r="D772" t="s">
        <v>2409</v>
      </c>
      <c r="E772">
        <v>1</v>
      </c>
      <c r="F772">
        <v>314.38</v>
      </c>
      <c r="G772" t="s">
        <v>2757</v>
      </c>
      <c r="H772" t="s">
        <v>3066</v>
      </c>
      <c r="I772" t="s">
        <v>3072</v>
      </c>
      <c r="J772" t="s">
        <v>3845</v>
      </c>
      <c r="K772">
        <v>6</v>
      </c>
      <c r="L772" t="s">
        <v>4283</v>
      </c>
      <c r="M772" t="s">
        <v>4282</v>
      </c>
      <c r="N772">
        <v>314.38</v>
      </c>
    </row>
    <row r="773" spans="1:14" x14ac:dyDescent="0.3">
      <c r="A773" t="s">
        <v>785</v>
      </c>
      <c r="B773" s="3">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3">
        <v>45501</v>
      </c>
      <c r="C774" t="s">
        <v>1983</v>
      </c>
      <c r="D774" t="s">
        <v>2403</v>
      </c>
      <c r="E774">
        <v>1</v>
      </c>
      <c r="F774">
        <v>604.87</v>
      </c>
      <c r="G774" t="s">
        <v>2914</v>
      </c>
      <c r="H774" t="s">
        <v>3066</v>
      </c>
      <c r="I774" t="s">
        <v>3073</v>
      </c>
      <c r="J774" t="s">
        <v>3847</v>
      </c>
      <c r="K774">
        <v>4</v>
      </c>
      <c r="L774" t="s">
        <v>4283</v>
      </c>
      <c r="M774" t="s">
        <v>4278</v>
      </c>
      <c r="N774">
        <v>604.87</v>
      </c>
    </row>
    <row r="775" spans="1:14" x14ac:dyDescent="0.3">
      <c r="A775" t="s">
        <v>787</v>
      </c>
      <c r="B775" s="3">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x14ac:dyDescent="0.3">
      <c r="A776" t="s">
        <v>788</v>
      </c>
      <c r="B776" s="3">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3">
        <v>44989</v>
      </c>
      <c r="C777" t="s">
        <v>1986</v>
      </c>
      <c r="D777" t="s">
        <v>2404</v>
      </c>
      <c r="E777">
        <v>2</v>
      </c>
      <c r="F777">
        <v>625.22</v>
      </c>
      <c r="G777" t="s">
        <v>2431</v>
      </c>
      <c r="H777" t="s">
        <v>3066</v>
      </c>
      <c r="I777" t="s">
        <v>3071</v>
      </c>
      <c r="J777" t="s">
        <v>3850</v>
      </c>
      <c r="K777">
        <v>5</v>
      </c>
      <c r="L777" t="s">
        <v>4283</v>
      </c>
      <c r="M777" t="s">
        <v>4282</v>
      </c>
      <c r="N777">
        <v>1250.44</v>
      </c>
    </row>
    <row r="778" spans="1:14" x14ac:dyDescent="0.3">
      <c r="A778" t="s">
        <v>790</v>
      </c>
      <c r="B778" s="3">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3">
        <v>45737</v>
      </c>
      <c r="C779" t="s">
        <v>1988</v>
      </c>
      <c r="D779" t="s">
        <v>2406</v>
      </c>
      <c r="E779">
        <v>5</v>
      </c>
      <c r="F779">
        <v>64.489999999999995</v>
      </c>
      <c r="G779" t="s">
        <v>2432</v>
      </c>
      <c r="H779" t="s">
        <v>3066</v>
      </c>
      <c r="I779" t="s">
        <v>3071</v>
      </c>
      <c r="J779" t="s">
        <v>3852</v>
      </c>
      <c r="K779">
        <v>7</v>
      </c>
      <c r="L779" t="s">
        <v>4283</v>
      </c>
      <c r="M779" t="s">
        <v>4281</v>
      </c>
      <c r="N779">
        <v>322.45</v>
      </c>
    </row>
    <row r="780" spans="1:14" x14ac:dyDescent="0.3">
      <c r="A780" t="s">
        <v>792</v>
      </c>
      <c r="B780" s="3">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3">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3">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3">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3">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3">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3">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3">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3">
        <v>45161</v>
      </c>
      <c r="C788" t="s">
        <v>1997</v>
      </c>
      <c r="D788" t="s">
        <v>2406</v>
      </c>
      <c r="E788">
        <v>5</v>
      </c>
      <c r="F788">
        <v>45.31</v>
      </c>
      <c r="G788" t="s">
        <v>2921</v>
      </c>
      <c r="H788" t="s">
        <v>3066</v>
      </c>
      <c r="I788" t="s">
        <v>3071</v>
      </c>
      <c r="J788" t="s">
        <v>3861</v>
      </c>
      <c r="K788">
        <v>8</v>
      </c>
      <c r="L788" t="s">
        <v>4283</v>
      </c>
      <c r="M788" t="s">
        <v>4279</v>
      </c>
      <c r="N788">
        <v>226.55</v>
      </c>
    </row>
    <row r="789" spans="1:14" x14ac:dyDescent="0.3">
      <c r="A789" t="s">
        <v>801</v>
      </c>
      <c r="B789" s="3">
        <v>45368</v>
      </c>
      <c r="C789" t="s">
        <v>1998</v>
      </c>
      <c r="D789" t="s">
        <v>2409</v>
      </c>
      <c r="E789">
        <v>4</v>
      </c>
      <c r="F789">
        <v>221.96</v>
      </c>
      <c r="G789" t="s">
        <v>2922</v>
      </c>
      <c r="H789" t="s">
        <v>3069</v>
      </c>
      <c r="I789" t="s">
        <v>3073</v>
      </c>
      <c r="J789" t="s">
        <v>3862</v>
      </c>
      <c r="K789">
        <v>7</v>
      </c>
      <c r="L789" t="s">
        <v>4283</v>
      </c>
      <c r="M789" t="s">
        <v>4282</v>
      </c>
      <c r="N789">
        <v>887.84</v>
      </c>
    </row>
    <row r="790" spans="1:14" x14ac:dyDescent="0.3">
      <c r="A790" t="s">
        <v>802</v>
      </c>
      <c r="B790" s="3">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3">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3">
        <v>45549</v>
      </c>
      <c r="C792" t="s">
        <v>2001</v>
      </c>
      <c r="D792" t="s">
        <v>2408</v>
      </c>
      <c r="E792">
        <v>4</v>
      </c>
      <c r="F792">
        <v>417.89</v>
      </c>
      <c r="G792" t="s">
        <v>2925</v>
      </c>
      <c r="H792" t="s">
        <v>3068</v>
      </c>
      <c r="I792" t="s">
        <v>3074</v>
      </c>
      <c r="J792" t="s">
        <v>3865</v>
      </c>
      <c r="K792">
        <v>4</v>
      </c>
      <c r="L792" t="s">
        <v>4283</v>
      </c>
      <c r="M792" t="s">
        <v>4282</v>
      </c>
      <c r="N792">
        <v>1671.56</v>
      </c>
    </row>
    <row r="793" spans="1:14" x14ac:dyDescent="0.3">
      <c r="A793" t="s">
        <v>805</v>
      </c>
      <c r="B793" s="3">
        <v>45304</v>
      </c>
      <c r="C793" t="s">
        <v>2002</v>
      </c>
      <c r="D793" t="s">
        <v>2406</v>
      </c>
      <c r="E793">
        <v>4</v>
      </c>
      <c r="F793">
        <v>409.28</v>
      </c>
      <c r="G793" t="s">
        <v>2434</v>
      </c>
      <c r="H793" t="s">
        <v>3069</v>
      </c>
      <c r="I793" t="s">
        <v>3074</v>
      </c>
      <c r="J793" t="s">
        <v>3866</v>
      </c>
      <c r="K793">
        <v>8</v>
      </c>
      <c r="L793" t="s">
        <v>4283</v>
      </c>
      <c r="M793" t="s">
        <v>4280</v>
      </c>
      <c r="N793">
        <v>1637.12</v>
      </c>
    </row>
    <row r="794" spans="1:14" x14ac:dyDescent="0.3">
      <c r="A794" t="s">
        <v>806</v>
      </c>
      <c r="B794" s="3">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3">
        <v>45397</v>
      </c>
      <c r="C795" t="s">
        <v>2004</v>
      </c>
      <c r="D795" t="s">
        <v>2406</v>
      </c>
      <c r="E795">
        <v>5</v>
      </c>
      <c r="F795">
        <v>170.22</v>
      </c>
      <c r="G795" t="s">
        <v>2745</v>
      </c>
      <c r="H795" t="s">
        <v>3065</v>
      </c>
      <c r="I795" t="s">
        <v>3073</v>
      </c>
      <c r="J795" t="s">
        <v>3868</v>
      </c>
      <c r="K795">
        <v>8</v>
      </c>
      <c r="L795" t="s">
        <v>4283</v>
      </c>
      <c r="M795" t="s">
        <v>4279</v>
      </c>
      <c r="N795">
        <v>851.1</v>
      </c>
    </row>
    <row r="796" spans="1:14" x14ac:dyDescent="0.3">
      <c r="A796" t="s">
        <v>808</v>
      </c>
      <c r="B796" s="3">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3">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3">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3">
        <v>44984</v>
      </c>
      <c r="C799" t="s">
        <v>2008</v>
      </c>
      <c r="D799" t="s">
        <v>2408</v>
      </c>
      <c r="E799">
        <v>2</v>
      </c>
      <c r="F799">
        <v>438.76</v>
      </c>
      <c r="G799" t="s">
        <v>2929</v>
      </c>
      <c r="H799" t="s">
        <v>3065</v>
      </c>
      <c r="I799" t="s">
        <v>3072</v>
      </c>
      <c r="J799" t="s">
        <v>3872</v>
      </c>
      <c r="K799">
        <v>2</v>
      </c>
      <c r="L799" t="s">
        <v>4283</v>
      </c>
      <c r="M799" t="s">
        <v>4281</v>
      </c>
      <c r="N799">
        <v>877.52</v>
      </c>
    </row>
    <row r="800" spans="1:14" x14ac:dyDescent="0.3">
      <c r="A800" t="s">
        <v>812</v>
      </c>
      <c r="B800" s="3">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3">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3">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3">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3">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3">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3">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3">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3">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3">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3">
        <v>45335</v>
      </c>
      <c r="C810" t="s">
        <v>2018</v>
      </c>
      <c r="D810" t="s">
        <v>2409</v>
      </c>
      <c r="E810">
        <v>3</v>
      </c>
      <c r="F810">
        <v>134.05000000000001</v>
      </c>
      <c r="G810" t="s">
        <v>2936</v>
      </c>
      <c r="H810" t="s">
        <v>3067</v>
      </c>
      <c r="I810" t="s">
        <v>3070</v>
      </c>
      <c r="J810" t="s">
        <v>3883</v>
      </c>
      <c r="K810">
        <v>3</v>
      </c>
      <c r="L810" t="s">
        <v>4283</v>
      </c>
      <c r="M810" t="s">
        <v>4282</v>
      </c>
      <c r="N810">
        <v>402.15</v>
      </c>
    </row>
    <row r="811" spans="1:14" x14ac:dyDescent="0.3">
      <c r="A811" t="s">
        <v>823</v>
      </c>
      <c r="B811" s="3">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3">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x14ac:dyDescent="0.3">
      <c r="A813" t="s">
        <v>825</v>
      </c>
      <c r="B813" s="3">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3">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3">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3">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3">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3">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3">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3">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3">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3">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3">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3">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3">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3">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3">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3">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3">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3">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3">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3">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3">
        <v>45278</v>
      </c>
      <c r="C833" t="s">
        <v>2041</v>
      </c>
      <c r="D833" t="s">
        <v>2407</v>
      </c>
      <c r="E833">
        <v>2</v>
      </c>
      <c r="F833">
        <v>88.73</v>
      </c>
      <c r="G833" t="s">
        <v>2851</v>
      </c>
      <c r="H833" t="s">
        <v>3066</v>
      </c>
      <c r="I833" t="s">
        <v>3074</v>
      </c>
      <c r="J833" t="s">
        <v>3906</v>
      </c>
      <c r="K833">
        <v>5</v>
      </c>
      <c r="L833" t="s">
        <v>4283</v>
      </c>
      <c r="M833" t="s">
        <v>4282</v>
      </c>
      <c r="N833">
        <v>177.46</v>
      </c>
    </row>
    <row r="834" spans="1:14" x14ac:dyDescent="0.3">
      <c r="A834" t="s">
        <v>846</v>
      </c>
      <c r="B834" s="3">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3">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3">
        <v>45393</v>
      </c>
      <c r="C836" t="s">
        <v>2044</v>
      </c>
      <c r="D836" t="s">
        <v>2407</v>
      </c>
      <c r="E836">
        <v>5</v>
      </c>
      <c r="F836">
        <v>22.14</v>
      </c>
      <c r="G836" t="s">
        <v>2616</v>
      </c>
      <c r="H836" t="s">
        <v>3069</v>
      </c>
      <c r="I836" t="s">
        <v>3072</v>
      </c>
      <c r="J836" t="s">
        <v>3909</v>
      </c>
      <c r="K836">
        <v>10</v>
      </c>
      <c r="L836" t="s">
        <v>4283</v>
      </c>
      <c r="M836" t="s">
        <v>4278</v>
      </c>
      <c r="N836">
        <v>110.7</v>
      </c>
    </row>
    <row r="837" spans="1:14" x14ac:dyDescent="0.3">
      <c r="A837" t="s">
        <v>849</v>
      </c>
      <c r="B837" s="3">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3">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3">
        <v>45822</v>
      </c>
      <c r="C839" t="s">
        <v>2047</v>
      </c>
      <c r="D839" t="s">
        <v>2406</v>
      </c>
      <c r="E839">
        <v>5</v>
      </c>
      <c r="F839">
        <v>655.55</v>
      </c>
      <c r="G839" t="s">
        <v>2839</v>
      </c>
      <c r="H839" t="s">
        <v>3066</v>
      </c>
      <c r="I839" t="s">
        <v>3073</v>
      </c>
      <c r="J839" t="s">
        <v>3912</v>
      </c>
      <c r="K839">
        <v>5</v>
      </c>
      <c r="L839" t="s">
        <v>4283</v>
      </c>
      <c r="M839" t="s">
        <v>4280</v>
      </c>
      <c r="N839">
        <v>3277.75</v>
      </c>
    </row>
    <row r="840" spans="1:14" x14ac:dyDescent="0.3">
      <c r="A840" t="s">
        <v>852</v>
      </c>
      <c r="B840" s="3">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x14ac:dyDescent="0.3">
      <c r="A841" t="s">
        <v>853</v>
      </c>
      <c r="B841" s="3">
        <v>45162</v>
      </c>
      <c r="C841" t="s">
        <v>2049</v>
      </c>
      <c r="D841" t="s">
        <v>2406</v>
      </c>
      <c r="E841">
        <v>3</v>
      </c>
      <c r="F841">
        <v>197.97</v>
      </c>
      <c r="G841" t="s">
        <v>2902</v>
      </c>
      <c r="H841" t="s">
        <v>3066</v>
      </c>
      <c r="I841" t="s">
        <v>3071</v>
      </c>
      <c r="J841" t="s">
        <v>3914</v>
      </c>
      <c r="K841">
        <v>5</v>
      </c>
      <c r="L841" t="s">
        <v>4283</v>
      </c>
      <c r="M841" t="s">
        <v>4282</v>
      </c>
      <c r="N841">
        <v>593.91</v>
      </c>
    </row>
    <row r="842" spans="1:14" x14ac:dyDescent="0.3">
      <c r="A842" t="s">
        <v>854</v>
      </c>
      <c r="B842" s="3">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3">
        <v>45554</v>
      </c>
      <c r="C843" t="s">
        <v>2051</v>
      </c>
      <c r="D843" t="s">
        <v>2407</v>
      </c>
      <c r="E843">
        <v>2</v>
      </c>
      <c r="F843">
        <v>443.22</v>
      </c>
      <c r="G843" t="s">
        <v>2950</v>
      </c>
      <c r="H843" t="s">
        <v>3067</v>
      </c>
      <c r="I843" t="s">
        <v>3073</v>
      </c>
      <c r="J843" t="s">
        <v>3916</v>
      </c>
      <c r="K843">
        <v>5</v>
      </c>
      <c r="L843" t="s">
        <v>4283</v>
      </c>
      <c r="M843" t="s">
        <v>4281</v>
      </c>
      <c r="N843">
        <v>886.44</v>
      </c>
    </row>
    <row r="844" spans="1:14" x14ac:dyDescent="0.3">
      <c r="A844" t="s">
        <v>856</v>
      </c>
      <c r="B844" s="3">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3">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3">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3">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3">
        <v>45477</v>
      </c>
      <c r="C848" t="s">
        <v>2056</v>
      </c>
      <c r="D848" t="s">
        <v>2409</v>
      </c>
      <c r="E848">
        <v>2</v>
      </c>
      <c r="F848">
        <v>359.86</v>
      </c>
      <c r="G848" t="s">
        <v>2954</v>
      </c>
      <c r="H848" t="s">
        <v>3065</v>
      </c>
      <c r="I848" t="s">
        <v>3071</v>
      </c>
      <c r="J848" t="s">
        <v>3921</v>
      </c>
      <c r="K848">
        <v>4</v>
      </c>
      <c r="L848" t="s">
        <v>4283</v>
      </c>
      <c r="M848" t="s">
        <v>4279</v>
      </c>
      <c r="N848">
        <v>719.72</v>
      </c>
    </row>
    <row r="849" spans="1:14" x14ac:dyDescent="0.3">
      <c r="A849" t="s">
        <v>861</v>
      </c>
      <c r="B849" s="3">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3">
        <v>44927</v>
      </c>
      <c r="C850" t="s">
        <v>2058</v>
      </c>
      <c r="D850" t="s">
        <v>2406</v>
      </c>
      <c r="E850">
        <v>2</v>
      </c>
      <c r="F850">
        <v>645.85</v>
      </c>
      <c r="G850" t="s">
        <v>2466</v>
      </c>
      <c r="H850" t="s">
        <v>3066</v>
      </c>
      <c r="I850" t="s">
        <v>3070</v>
      </c>
      <c r="J850" t="s">
        <v>3923</v>
      </c>
      <c r="K850">
        <v>5</v>
      </c>
      <c r="L850" t="s">
        <v>4283</v>
      </c>
      <c r="M850" t="s">
        <v>4279</v>
      </c>
      <c r="N850">
        <v>1291.7</v>
      </c>
    </row>
    <row r="851" spans="1:14" x14ac:dyDescent="0.3">
      <c r="A851" t="s">
        <v>863</v>
      </c>
      <c r="B851" s="3">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3">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3">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3">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3">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3">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3">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3">
        <v>45446</v>
      </c>
      <c r="C858" t="s">
        <v>2066</v>
      </c>
      <c r="D858" t="s">
        <v>2404</v>
      </c>
      <c r="E858">
        <v>1</v>
      </c>
      <c r="F858">
        <v>586.62</v>
      </c>
      <c r="G858" t="s">
        <v>2452</v>
      </c>
      <c r="H858" t="s">
        <v>3065</v>
      </c>
      <c r="I858" t="s">
        <v>3070</v>
      </c>
      <c r="J858" t="s">
        <v>3931</v>
      </c>
      <c r="K858">
        <v>5</v>
      </c>
      <c r="L858" t="s">
        <v>4283</v>
      </c>
      <c r="M858" t="s">
        <v>4281</v>
      </c>
      <c r="N858">
        <v>586.62</v>
      </c>
    </row>
    <row r="859" spans="1:14" x14ac:dyDescent="0.3">
      <c r="A859" t="s">
        <v>871</v>
      </c>
      <c r="B859" s="3">
        <v>45361</v>
      </c>
      <c r="C859" t="s">
        <v>2067</v>
      </c>
      <c r="D859" t="s">
        <v>2404</v>
      </c>
      <c r="E859">
        <v>3</v>
      </c>
      <c r="F859">
        <v>257.83999999999997</v>
      </c>
      <c r="G859" t="s">
        <v>2594</v>
      </c>
      <c r="H859" t="s">
        <v>3066</v>
      </c>
      <c r="I859" t="s">
        <v>3073</v>
      </c>
      <c r="J859" t="s">
        <v>3932</v>
      </c>
      <c r="K859">
        <v>4</v>
      </c>
      <c r="L859" t="s">
        <v>4283</v>
      </c>
      <c r="M859" t="s">
        <v>4278</v>
      </c>
      <c r="N859">
        <v>773.52</v>
      </c>
    </row>
    <row r="860" spans="1:14" x14ac:dyDescent="0.3">
      <c r="A860" t="s">
        <v>872</v>
      </c>
      <c r="B860" s="3">
        <v>45158</v>
      </c>
      <c r="C860" t="s">
        <v>2068</v>
      </c>
      <c r="D860" t="s">
        <v>2405</v>
      </c>
      <c r="E860">
        <v>5</v>
      </c>
      <c r="F860">
        <v>435.66</v>
      </c>
      <c r="G860" t="s">
        <v>2428</v>
      </c>
      <c r="H860" t="s">
        <v>3066</v>
      </c>
      <c r="I860" t="s">
        <v>3074</v>
      </c>
      <c r="J860" t="s">
        <v>3933</v>
      </c>
      <c r="K860">
        <v>9</v>
      </c>
      <c r="L860" t="s">
        <v>4283</v>
      </c>
      <c r="M860" t="s">
        <v>4281</v>
      </c>
      <c r="N860">
        <v>2178.3000000000002</v>
      </c>
    </row>
    <row r="861" spans="1:14" x14ac:dyDescent="0.3">
      <c r="A861" t="s">
        <v>873</v>
      </c>
      <c r="B861" s="3">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3">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3">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3">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3">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3">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3">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3">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3">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3">
        <v>45472</v>
      </c>
      <c r="C870" t="s">
        <v>2078</v>
      </c>
      <c r="D870" t="s">
        <v>2403</v>
      </c>
      <c r="E870">
        <v>4</v>
      </c>
      <c r="F870">
        <v>316.32</v>
      </c>
      <c r="G870" t="s">
        <v>2961</v>
      </c>
      <c r="H870" t="s">
        <v>3065</v>
      </c>
      <c r="I870" t="s">
        <v>3073</v>
      </c>
      <c r="J870" t="s">
        <v>3943</v>
      </c>
      <c r="K870">
        <v>7</v>
      </c>
      <c r="L870" t="s">
        <v>4283</v>
      </c>
      <c r="M870" t="s">
        <v>4281</v>
      </c>
      <c r="N870">
        <v>1265.28</v>
      </c>
    </row>
    <row r="871" spans="1:14" x14ac:dyDescent="0.3">
      <c r="A871" t="s">
        <v>883</v>
      </c>
      <c r="B871" s="3">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3">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3">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3">
        <v>45117</v>
      </c>
      <c r="C874" t="s">
        <v>2082</v>
      </c>
      <c r="D874" t="s">
        <v>2406</v>
      </c>
      <c r="E874">
        <v>4</v>
      </c>
      <c r="F874">
        <v>629.34</v>
      </c>
      <c r="G874" t="s">
        <v>2590</v>
      </c>
      <c r="H874" t="s">
        <v>3069</v>
      </c>
      <c r="I874" t="s">
        <v>3070</v>
      </c>
      <c r="J874" t="s">
        <v>3947</v>
      </c>
      <c r="K874">
        <v>7</v>
      </c>
      <c r="L874" t="s">
        <v>4283</v>
      </c>
      <c r="M874" t="s">
        <v>4280</v>
      </c>
      <c r="N874">
        <v>2517.36</v>
      </c>
    </row>
    <row r="875" spans="1:14" x14ac:dyDescent="0.3">
      <c r="A875" t="s">
        <v>887</v>
      </c>
      <c r="B875" s="3">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3">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3">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3">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3">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3">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3">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x14ac:dyDescent="0.3">
      <c r="A882" t="s">
        <v>894</v>
      </c>
      <c r="B882" s="3">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3">
        <v>44929</v>
      </c>
      <c r="C883" t="s">
        <v>2091</v>
      </c>
      <c r="D883" t="s">
        <v>2405</v>
      </c>
      <c r="E883">
        <v>2</v>
      </c>
      <c r="F883">
        <v>448.85</v>
      </c>
      <c r="G883" t="s">
        <v>2966</v>
      </c>
      <c r="H883" t="s">
        <v>3067</v>
      </c>
      <c r="I883" t="s">
        <v>3074</v>
      </c>
      <c r="J883" t="s">
        <v>3956</v>
      </c>
      <c r="K883">
        <v>6</v>
      </c>
      <c r="L883" t="s">
        <v>4283</v>
      </c>
      <c r="M883" t="s">
        <v>4278</v>
      </c>
      <c r="N883">
        <v>897.7</v>
      </c>
    </row>
    <row r="884" spans="1:14" x14ac:dyDescent="0.3">
      <c r="A884" t="s">
        <v>896</v>
      </c>
      <c r="B884" s="3">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3">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3">
        <v>45427</v>
      </c>
      <c r="C886" t="s">
        <v>2094</v>
      </c>
      <c r="D886" t="s">
        <v>2406</v>
      </c>
      <c r="E886">
        <v>1</v>
      </c>
      <c r="F886">
        <v>595.54</v>
      </c>
      <c r="G886" t="s">
        <v>2968</v>
      </c>
      <c r="H886" t="s">
        <v>3068</v>
      </c>
      <c r="I886" t="s">
        <v>3070</v>
      </c>
      <c r="J886" t="s">
        <v>3959</v>
      </c>
      <c r="K886">
        <v>4</v>
      </c>
      <c r="L886" t="s">
        <v>4283</v>
      </c>
      <c r="M886" t="s">
        <v>4278</v>
      </c>
      <c r="N886">
        <v>595.54</v>
      </c>
    </row>
    <row r="887" spans="1:14" x14ac:dyDescent="0.3">
      <c r="A887" t="s">
        <v>899</v>
      </c>
      <c r="B887" s="3">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3">
        <v>45224</v>
      </c>
      <c r="C888" t="s">
        <v>2096</v>
      </c>
      <c r="D888" t="s">
        <v>2404</v>
      </c>
      <c r="E888">
        <v>1</v>
      </c>
      <c r="F888">
        <v>460.13</v>
      </c>
      <c r="G888" t="s">
        <v>2970</v>
      </c>
      <c r="H888" t="s">
        <v>3067</v>
      </c>
      <c r="I888" t="s">
        <v>3072</v>
      </c>
      <c r="J888" t="s">
        <v>3961</v>
      </c>
      <c r="K888">
        <v>1</v>
      </c>
      <c r="L888" t="s">
        <v>4283</v>
      </c>
      <c r="M888" t="s">
        <v>4282</v>
      </c>
      <c r="N888">
        <v>460.13</v>
      </c>
    </row>
    <row r="889" spans="1:14" x14ac:dyDescent="0.3">
      <c r="A889" t="s">
        <v>901</v>
      </c>
      <c r="B889" s="3">
        <v>45645</v>
      </c>
      <c r="C889" t="s">
        <v>2097</v>
      </c>
      <c r="D889" t="s">
        <v>2406</v>
      </c>
      <c r="E889">
        <v>3</v>
      </c>
      <c r="F889">
        <v>171.66</v>
      </c>
      <c r="G889" t="s">
        <v>2971</v>
      </c>
      <c r="H889" t="s">
        <v>3065</v>
      </c>
      <c r="I889" t="s">
        <v>3073</v>
      </c>
      <c r="J889" t="s">
        <v>3962</v>
      </c>
      <c r="K889">
        <v>7</v>
      </c>
      <c r="L889" t="s">
        <v>4283</v>
      </c>
      <c r="M889" t="s">
        <v>4282</v>
      </c>
      <c r="N889">
        <v>514.98</v>
      </c>
    </row>
    <row r="890" spans="1:14" x14ac:dyDescent="0.3">
      <c r="A890" t="s">
        <v>902</v>
      </c>
      <c r="B890" s="3">
        <v>45496</v>
      </c>
      <c r="C890" t="s">
        <v>2098</v>
      </c>
      <c r="D890" t="s">
        <v>2408</v>
      </c>
      <c r="E890">
        <v>2</v>
      </c>
      <c r="F890">
        <v>266.95</v>
      </c>
      <c r="G890" t="s">
        <v>2972</v>
      </c>
      <c r="H890" t="s">
        <v>3067</v>
      </c>
      <c r="I890" t="s">
        <v>3074</v>
      </c>
      <c r="J890" t="s">
        <v>3963</v>
      </c>
      <c r="K890">
        <v>3</v>
      </c>
      <c r="L890" t="s">
        <v>4283</v>
      </c>
      <c r="M890" t="s">
        <v>4278</v>
      </c>
      <c r="N890">
        <v>533.9</v>
      </c>
    </row>
    <row r="891" spans="1:14" x14ac:dyDescent="0.3">
      <c r="A891" t="s">
        <v>903</v>
      </c>
      <c r="B891" s="3">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3">
        <v>45149</v>
      </c>
      <c r="C892" t="s">
        <v>2100</v>
      </c>
      <c r="D892" t="s">
        <v>2408</v>
      </c>
      <c r="E892">
        <v>3</v>
      </c>
      <c r="F892">
        <v>439.53</v>
      </c>
      <c r="G892" t="s">
        <v>2781</v>
      </c>
      <c r="H892" t="s">
        <v>3065</v>
      </c>
      <c r="I892" t="s">
        <v>3074</v>
      </c>
      <c r="J892" t="s">
        <v>3965</v>
      </c>
      <c r="K892">
        <v>5</v>
      </c>
      <c r="L892" t="s">
        <v>4283</v>
      </c>
      <c r="M892" t="s">
        <v>4282</v>
      </c>
      <c r="N892">
        <v>1318.59</v>
      </c>
    </row>
    <row r="893" spans="1:14" x14ac:dyDescent="0.3">
      <c r="A893" t="s">
        <v>905</v>
      </c>
      <c r="B893" s="3">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3">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3">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3">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3">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3">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3">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3">
        <v>45721</v>
      </c>
      <c r="C900" t="s">
        <v>2108</v>
      </c>
      <c r="D900" t="s">
        <v>2403</v>
      </c>
      <c r="E900">
        <v>3</v>
      </c>
      <c r="F900">
        <v>158.37</v>
      </c>
      <c r="G900" t="s">
        <v>2950</v>
      </c>
      <c r="H900" t="s">
        <v>3069</v>
      </c>
      <c r="I900" t="s">
        <v>3070</v>
      </c>
      <c r="J900" t="s">
        <v>3973</v>
      </c>
      <c r="K900">
        <v>6</v>
      </c>
      <c r="L900" t="s">
        <v>4283</v>
      </c>
      <c r="M900" t="s">
        <v>4279</v>
      </c>
      <c r="N900">
        <v>475.11</v>
      </c>
    </row>
    <row r="901" spans="1:14" x14ac:dyDescent="0.3">
      <c r="A901" t="s">
        <v>913</v>
      </c>
      <c r="B901" s="3">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3">
        <v>45695</v>
      </c>
      <c r="C902" t="s">
        <v>2110</v>
      </c>
      <c r="D902" t="s">
        <v>2408</v>
      </c>
      <c r="E902">
        <v>5</v>
      </c>
      <c r="F902">
        <v>73.83</v>
      </c>
      <c r="G902" t="s">
        <v>2802</v>
      </c>
      <c r="H902" t="s">
        <v>3065</v>
      </c>
      <c r="I902" t="s">
        <v>3074</v>
      </c>
      <c r="J902" t="s">
        <v>3975</v>
      </c>
      <c r="K902">
        <v>9</v>
      </c>
      <c r="L902" t="s">
        <v>4283</v>
      </c>
      <c r="M902" t="s">
        <v>4278</v>
      </c>
      <c r="N902">
        <v>369.15</v>
      </c>
    </row>
    <row r="903" spans="1:14" x14ac:dyDescent="0.3">
      <c r="A903" t="s">
        <v>915</v>
      </c>
      <c r="B903" s="3">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3">
        <v>45486</v>
      </c>
      <c r="C904" t="s">
        <v>2112</v>
      </c>
      <c r="D904" t="s">
        <v>2403</v>
      </c>
      <c r="E904">
        <v>4</v>
      </c>
      <c r="F904">
        <v>180.25</v>
      </c>
      <c r="G904" t="s">
        <v>2469</v>
      </c>
      <c r="H904" t="s">
        <v>3065</v>
      </c>
      <c r="I904" t="s">
        <v>3071</v>
      </c>
      <c r="J904" t="s">
        <v>3977</v>
      </c>
      <c r="K904">
        <v>7</v>
      </c>
      <c r="L904" t="s">
        <v>4283</v>
      </c>
      <c r="M904" t="s">
        <v>4281</v>
      </c>
      <c r="N904">
        <v>721</v>
      </c>
    </row>
    <row r="905" spans="1:14" x14ac:dyDescent="0.3">
      <c r="A905" t="s">
        <v>917</v>
      </c>
      <c r="B905" s="3">
        <v>45063</v>
      </c>
      <c r="C905" t="s">
        <v>2113</v>
      </c>
      <c r="D905" t="s">
        <v>2403</v>
      </c>
      <c r="E905">
        <v>3</v>
      </c>
      <c r="F905">
        <v>473.49</v>
      </c>
      <c r="G905" t="s">
        <v>2932</v>
      </c>
      <c r="H905" t="s">
        <v>3067</v>
      </c>
      <c r="I905" t="s">
        <v>3074</v>
      </c>
      <c r="J905" t="s">
        <v>3978</v>
      </c>
      <c r="K905">
        <v>7</v>
      </c>
      <c r="L905" t="s">
        <v>4283</v>
      </c>
      <c r="M905" t="s">
        <v>4280</v>
      </c>
      <c r="N905">
        <v>1420.47</v>
      </c>
    </row>
    <row r="906" spans="1:14" x14ac:dyDescent="0.3">
      <c r="A906" t="s">
        <v>918</v>
      </c>
      <c r="B906" s="3">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3">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3">
        <v>45538</v>
      </c>
      <c r="C908" t="s">
        <v>2116</v>
      </c>
      <c r="D908" t="s">
        <v>2403</v>
      </c>
      <c r="E908">
        <v>1</v>
      </c>
      <c r="F908">
        <v>62.12</v>
      </c>
      <c r="G908" t="s">
        <v>2977</v>
      </c>
      <c r="H908" t="s">
        <v>3069</v>
      </c>
      <c r="I908" t="s">
        <v>3072</v>
      </c>
      <c r="J908" t="s">
        <v>3981</v>
      </c>
      <c r="K908">
        <v>2</v>
      </c>
      <c r="L908" t="s">
        <v>4283</v>
      </c>
      <c r="M908" t="s">
        <v>4280</v>
      </c>
      <c r="N908">
        <v>62.12</v>
      </c>
    </row>
    <row r="909" spans="1:14" x14ac:dyDescent="0.3">
      <c r="A909" t="s">
        <v>921</v>
      </c>
      <c r="B909" s="3">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3">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3">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3">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3">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3">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3">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3">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3">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3">
        <v>45464</v>
      </c>
      <c r="C918" t="s">
        <v>2126</v>
      </c>
      <c r="D918" t="s">
        <v>2407</v>
      </c>
      <c r="E918">
        <v>5</v>
      </c>
      <c r="F918">
        <v>578.83000000000004</v>
      </c>
      <c r="G918" t="s">
        <v>2913</v>
      </c>
      <c r="H918" t="s">
        <v>3069</v>
      </c>
      <c r="I918" t="s">
        <v>3072</v>
      </c>
      <c r="J918" t="s">
        <v>3991</v>
      </c>
      <c r="K918">
        <v>6</v>
      </c>
      <c r="L918" t="s">
        <v>4283</v>
      </c>
      <c r="M918" t="s">
        <v>4279</v>
      </c>
      <c r="N918">
        <v>2894.15</v>
      </c>
    </row>
    <row r="919" spans="1:14" x14ac:dyDescent="0.3">
      <c r="A919" t="s">
        <v>931</v>
      </c>
      <c r="B919" s="3">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3">
        <v>45832</v>
      </c>
      <c r="C920" t="s">
        <v>2128</v>
      </c>
      <c r="D920" t="s">
        <v>2408</v>
      </c>
      <c r="E920">
        <v>5</v>
      </c>
      <c r="F920">
        <v>368.25</v>
      </c>
      <c r="G920" t="s">
        <v>2417</v>
      </c>
      <c r="H920" t="s">
        <v>3066</v>
      </c>
      <c r="I920" t="s">
        <v>3073</v>
      </c>
      <c r="J920" t="s">
        <v>3993</v>
      </c>
      <c r="K920">
        <v>5</v>
      </c>
      <c r="L920" t="s">
        <v>4283</v>
      </c>
      <c r="M920" t="s">
        <v>4278</v>
      </c>
      <c r="N920">
        <v>1841.25</v>
      </c>
    </row>
    <row r="921" spans="1:14" x14ac:dyDescent="0.3">
      <c r="A921" t="s">
        <v>933</v>
      </c>
      <c r="B921" s="3">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3">
        <v>45728</v>
      </c>
      <c r="C922" t="s">
        <v>2130</v>
      </c>
      <c r="D922" t="s">
        <v>2405</v>
      </c>
      <c r="E922">
        <v>2</v>
      </c>
      <c r="F922">
        <v>428.09</v>
      </c>
      <c r="G922" t="s">
        <v>2674</v>
      </c>
      <c r="H922" t="s">
        <v>3067</v>
      </c>
      <c r="I922" t="s">
        <v>3072</v>
      </c>
      <c r="J922" t="s">
        <v>3995</v>
      </c>
      <c r="K922">
        <v>6</v>
      </c>
      <c r="L922" t="s">
        <v>4283</v>
      </c>
      <c r="M922" t="s">
        <v>4278</v>
      </c>
      <c r="N922">
        <v>856.18</v>
      </c>
    </row>
    <row r="923" spans="1:14" x14ac:dyDescent="0.3">
      <c r="A923" t="s">
        <v>935</v>
      </c>
      <c r="B923" s="3">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3">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x14ac:dyDescent="0.3">
      <c r="A925" t="s">
        <v>937</v>
      </c>
      <c r="B925" s="3">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3">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3">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3">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3">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3">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3">
        <v>45581</v>
      </c>
      <c r="C931" t="s">
        <v>2139</v>
      </c>
      <c r="D931" t="s">
        <v>2405</v>
      </c>
      <c r="E931">
        <v>2</v>
      </c>
      <c r="F931">
        <v>536.25</v>
      </c>
      <c r="G931" t="s">
        <v>2568</v>
      </c>
      <c r="H931" t="s">
        <v>3065</v>
      </c>
      <c r="I931" t="s">
        <v>3074</v>
      </c>
      <c r="J931" t="s">
        <v>4004</v>
      </c>
      <c r="K931">
        <v>3</v>
      </c>
      <c r="L931" t="s">
        <v>4283</v>
      </c>
      <c r="M931" t="s">
        <v>4280</v>
      </c>
      <c r="N931">
        <v>1072.5</v>
      </c>
    </row>
    <row r="932" spans="1:14" x14ac:dyDescent="0.3">
      <c r="A932" t="s">
        <v>944</v>
      </c>
      <c r="B932" s="3">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3">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3">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3">
        <v>44952</v>
      </c>
      <c r="C935" t="s">
        <v>2143</v>
      </c>
      <c r="D935" t="s">
        <v>2403</v>
      </c>
      <c r="E935">
        <v>2</v>
      </c>
      <c r="F935">
        <v>394.16</v>
      </c>
      <c r="G935" t="s">
        <v>2617</v>
      </c>
      <c r="H935" t="s">
        <v>3066</v>
      </c>
      <c r="I935" t="s">
        <v>3070</v>
      </c>
      <c r="J935" t="s">
        <v>4008</v>
      </c>
      <c r="K935">
        <v>2</v>
      </c>
      <c r="L935" t="s">
        <v>4283</v>
      </c>
      <c r="M935" t="s">
        <v>4279</v>
      </c>
      <c r="N935">
        <v>788.32</v>
      </c>
    </row>
    <row r="936" spans="1:14" x14ac:dyDescent="0.3">
      <c r="A936" t="s">
        <v>948</v>
      </c>
      <c r="B936" s="3">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3">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3">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3">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3">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3">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3">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3">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3">
        <v>45198</v>
      </c>
      <c r="C944" t="s">
        <v>2151</v>
      </c>
      <c r="D944" t="s">
        <v>2405</v>
      </c>
      <c r="E944">
        <v>1</v>
      </c>
      <c r="F944">
        <v>479.76</v>
      </c>
      <c r="G944" t="s">
        <v>2599</v>
      </c>
      <c r="H944" t="s">
        <v>3067</v>
      </c>
      <c r="I944" t="s">
        <v>3074</v>
      </c>
      <c r="J944" t="s">
        <v>4017</v>
      </c>
      <c r="K944">
        <v>1</v>
      </c>
      <c r="L944" t="s">
        <v>4283</v>
      </c>
      <c r="M944" t="s">
        <v>4280</v>
      </c>
      <c r="N944">
        <v>479.76</v>
      </c>
    </row>
    <row r="945" spans="1:14" x14ac:dyDescent="0.3">
      <c r="A945" t="s">
        <v>957</v>
      </c>
      <c r="B945" s="3">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3">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3">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3">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3">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3">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x14ac:dyDescent="0.3">
      <c r="A951" t="s">
        <v>963</v>
      </c>
      <c r="B951" s="3">
        <v>45239</v>
      </c>
      <c r="C951" t="s">
        <v>2157</v>
      </c>
      <c r="D951" t="s">
        <v>2409</v>
      </c>
      <c r="E951">
        <v>5</v>
      </c>
      <c r="F951">
        <v>110.38</v>
      </c>
      <c r="G951" t="s">
        <v>2732</v>
      </c>
      <c r="H951" t="s">
        <v>3069</v>
      </c>
      <c r="I951" t="s">
        <v>3074</v>
      </c>
      <c r="J951" t="s">
        <v>4024</v>
      </c>
      <c r="K951">
        <v>10</v>
      </c>
      <c r="L951" t="s">
        <v>4283</v>
      </c>
      <c r="M951" t="s">
        <v>4279</v>
      </c>
      <c r="N951">
        <v>551.9</v>
      </c>
    </row>
    <row r="952" spans="1:14" x14ac:dyDescent="0.3">
      <c r="A952" t="s">
        <v>964</v>
      </c>
      <c r="B952" s="3">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3">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3">
        <v>45715</v>
      </c>
      <c r="C954" t="s">
        <v>2160</v>
      </c>
      <c r="D954" t="s">
        <v>2403</v>
      </c>
      <c r="E954">
        <v>3</v>
      </c>
      <c r="F954">
        <v>503.39</v>
      </c>
      <c r="G954" t="s">
        <v>2986</v>
      </c>
      <c r="H954" t="s">
        <v>3066</v>
      </c>
      <c r="I954" t="s">
        <v>3074</v>
      </c>
      <c r="J954" t="s">
        <v>4027</v>
      </c>
      <c r="K954">
        <v>5</v>
      </c>
      <c r="L954" t="s">
        <v>4283</v>
      </c>
      <c r="M954" t="s">
        <v>4281</v>
      </c>
      <c r="N954">
        <v>1510.17</v>
      </c>
    </row>
    <row r="955" spans="1:14" x14ac:dyDescent="0.3">
      <c r="A955" t="s">
        <v>967</v>
      </c>
      <c r="B955" s="3">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3">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3">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3">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3">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3">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3">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3">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3">
        <v>45607</v>
      </c>
      <c r="C963" t="s">
        <v>2168</v>
      </c>
      <c r="D963" t="s">
        <v>2404</v>
      </c>
      <c r="E963">
        <v>1</v>
      </c>
      <c r="F963">
        <v>601.36</v>
      </c>
      <c r="G963" t="s">
        <v>2685</v>
      </c>
      <c r="H963" t="s">
        <v>3066</v>
      </c>
      <c r="I963" t="s">
        <v>3070</v>
      </c>
      <c r="J963" t="s">
        <v>4036</v>
      </c>
      <c r="K963">
        <v>1</v>
      </c>
      <c r="L963" t="s">
        <v>4283</v>
      </c>
      <c r="M963" t="s">
        <v>4281</v>
      </c>
      <c r="N963">
        <v>601.36</v>
      </c>
    </row>
    <row r="964" spans="1:14" x14ac:dyDescent="0.3">
      <c r="A964" t="s">
        <v>976</v>
      </c>
      <c r="B964" s="3">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3">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3">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3">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3">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3">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3">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3">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3">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3">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3">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3">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3">
        <v>45196</v>
      </c>
      <c r="C976" t="s">
        <v>2181</v>
      </c>
      <c r="D976" t="s">
        <v>2409</v>
      </c>
      <c r="E976">
        <v>5</v>
      </c>
      <c r="F976">
        <v>266.77999999999997</v>
      </c>
      <c r="G976" t="s">
        <v>2673</v>
      </c>
      <c r="H976" t="s">
        <v>3068</v>
      </c>
      <c r="I976" t="s">
        <v>3071</v>
      </c>
      <c r="J976" t="s">
        <v>4049</v>
      </c>
      <c r="K976">
        <v>5</v>
      </c>
      <c r="L976" t="s">
        <v>4283</v>
      </c>
      <c r="M976" t="s">
        <v>4280</v>
      </c>
      <c r="N976">
        <v>1333.9</v>
      </c>
    </row>
    <row r="977" spans="1:14" x14ac:dyDescent="0.3">
      <c r="A977" t="s">
        <v>989</v>
      </c>
      <c r="B977" s="3">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3">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3">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3">
        <v>45468</v>
      </c>
      <c r="C980" t="s">
        <v>2185</v>
      </c>
      <c r="D980" t="s">
        <v>2407</v>
      </c>
      <c r="E980">
        <v>4</v>
      </c>
      <c r="F980">
        <v>107.49</v>
      </c>
      <c r="G980" t="s">
        <v>2887</v>
      </c>
      <c r="H980" t="s">
        <v>3069</v>
      </c>
      <c r="I980" t="s">
        <v>3073</v>
      </c>
      <c r="J980" t="s">
        <v>4053</v>
      </c>
      <c r="K980">
        <v>5</v>
      </c>
      <c r="L980" t="s">
        <v>4283</v>
      </c>
      <c r="M980" t="s">
        <v>4282</v>
      </c>
      <c r="N980">
        <v>429.96</v>
      </c>
    </row>
    <row r="981" spans="1:14" x14ac:dyDescent="0.3">
      <c r="A981" t="s">
        <v>993</v>
      </c>
      <c r="B981" s="3">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3">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3">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3">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3">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3">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3">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3">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3">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3">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3">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3">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3">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3">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3">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3">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3">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3">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3">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3">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3">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3">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3">
        <v>45268</v>
      </c>
      <c r="C1003" t="s">
        <v>2208</v>
      </c>
      <c r="D1003" t="s">
        <v>2407</v>
      </c>
      <c r="E1003">
        <v>2</v>
      </c>
      <c r="F1003">
        <v>253.68</v>
      </c>
      <c r="G1003" t="s">
        <v>2518</v>
      </c>
      <c r="H1003" t="s">
        <v>3068</v>
      </c>
      <c r="I1003" t="s">
        <v>3070</v>
      </c>
      <c r="J1003" t="s">
        <v>4076</v>
      </c>
      <c r="K1003">
        <v>6</v>
      </c>
      <c r="L1003" t="s">
        <v>4283</v>
      </c>
      <c r="M1003" t="s">
        <v>4279</v>
      </c>
      <c r="N1003">
        <v>507.36</v>
      </c>
    </row>
    <row r="1004" spans="1:14" x14ac:dyDescent="0.3">
      <c r="A1004" t="s">
        <v>1016</v>
      </c>
      <c r="B1004" s="3">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3">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3">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3">
        <v>44987</v>
      </c>
      <c r="C1007" t="s">
        <v>2212</v>
      </c>
      <c r="D1007" t="s">
        <v>2407</v>
      </c>
      <c r="E1007">
        <v>3</v>
      </c>
      <c r="F1007">
        <v>392.85</v>
      </c>
      <c r="G1007" t="s">
        <v>2929</v>
      </c>
      <c r="H1007" t="s">
        <v>3067</v>
      </c>
      <c r="I1007" t="s">
        <v>3072</v>
      </c>
      <c r="J1007" t="s">
        <v>4080</v>
      </c>
      <c r="K1007">
        <v>6</v>
      </c>
      <c r="L1007" t="s">
        <v>4283</v>
      </c>
      <c r="M1007" t="s">
        <v>4282</v>
      </c>
      <c r="N1007">
        <v>1178.55</v>
      </c>
    </row>
    <row r="1008" spans="1:14" x14ac:dyDescent="0.3">
      <c r="A1008" t="s">
        <v>1020</v>
      </c>
      <c r="B1008" s="3">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3">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3">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3">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3">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3">
        <v>45629</v>
      </c>
      <c r="C1013" t="s">
        <v>2217</v>
      </c>
      <c r="D1013" t="s">
        <v>2404</v>
      </c>
      <c r="E1013">
        <v>2</v>
      </c>
      <c r="F1013">
        <v>478.36</v>
      </c>
      <c r="G1013" t="s">
        <v>2646</v>
      </c>
      <c r="H1013" t="s">
        <v>3066</v>
      </c>
      <c r="I1013" t="s">
        <v>3070</v>
      </c>
      <c r="J1013" t="s">
        <v>4086</v>
      </c>
      <c r="K1013">
        <v>3</v>
      </c>
      <c r="L1013" t="s">
        <v>4283</v>
      </c>
      <c r="M1013" t="s">
        <v>4282</v>
      </c>
      <c r="N1013">
        <v>956.72</v>
      </c>
    </row>
    <row r="1014" spans="1:14" x14ac:dyDescent="0.3">
      <c r="A1014" t="s">
        <v>1026</v>
      </c>
      <c r="B1014" s="3">
        <v>45629</v>
      </c>
      <c r="C1014" t="s">
        <v>2218</v>
      </c>
      <c r="D1014" t="s">
        <v>2407</v>
      </c>
      <c r="E1014">
        <v>4</v>
      </c>
      <c r="F1014">
        <v>30.05</v>
      </c>
      <c r="G1014" t="s">
        <v>2676</v>
      </c>
      <c r="H1014" t="s">
        <v>3066</v>
      </c>
      <c r="I1014" t="s">
        <v>3072</v>
      </c>
      <c r="J1014" t="s">
        <v>4087</v>
      </c>
      <c r="K1014">
        <v>6</v>
      </c>
      <c r="L1014" t="s">
        <v>4283</v>
      </c>
      <c r="M1014" t="s">
        <v>4281</v>
      </c>
      <c r="N1014">
        <v>120.2</v>
      </c>
    </row>
    <row r="1015" spans="1:14" x14ac:dyDescent="0.3">
      <c r="A1015" t="s">
        <v>1027</v>
      </c>
      <c r="B1015" s="3">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3">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3">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3">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3">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3">
        <v>45115</v>
      </c>
      <c r="C1020" t="s">
        <v>2224</v>
      </c>
      <c r="D1020" t="s">
        <v>2408</v>
      </c>
      <c r="E1020">
        <v>3</v>
      </c>
      <c r="F1020">
        <v>182.48</v>
      </c>
      <c r="G1020" t="s">
        <v>3004</v>
      </c>
      <c r="H1020" t="s">
        <v>3069</v>
      </c>
      <c r="I1020" t="s">
        <v>3073</v>
      </c>
      <c r="J1020" t="s">
        <v>4093</v>
      </c>
      <c r="K1020">
        <v>3</v>
      </c>
      <c r="L1020" t="s">
        <v>4283</v>
      </c>
      <c r="M1020" t="s">
        <v>4278</v>
      </c>
      <c r="N1020">
        <v>547.43999999999994</v>
      </c>
    </row>
    <row r="1021" spans="1:14" x14ac:dyDescent="0.3">
      <c r="A1021" t="s">
        <v>1033</v>
      </c>
      <c r="B1021" s="3">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3">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3">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3">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3">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x14ac:dyDescent="0.3">
      <c r="A1026" t="s">
        <v>1038</v>
      </c>
      <c r="B1026" s="3">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3">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3">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3">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x14ac:dyDescent="0.3">
      <c r="A1030" t="s">
        <v>1042</v>
      </c>
      <c r="B1030" s="3">
        <v>44974</v>
      </c>
      <c r="C1030" t="s">
        <v>2234</v>
      </c>
      <c r="D1030" t="s">
        <v>2409</v>
      </c>
      <c r="E1030">
        <v>4</v>
      </c>
      <c r="F1030">
        <v>440.31</v>
      </c>
      <c r="G1030" t="s">
        <v>2610</v>
      </c>
      <c r="H1030" t="s">
        <v>3069</v>
      </c>
      <c r="I1030" t="s">
        <v>3071</v>
      </c>
      <c r="J1030" t="s">
        <v>4103</v>
      </c>
      <c r="K1030">
        <v>6</v>
      </c>
      <c r="L1030" t="s">
        <v>4283</v>
      </c>
      <c r="M1030" t="s">
        <v>4278</v>
      </c>
      <c r="N1030">
        <v>1761.24</v>
      </c>
    </row>
    <row r="1031" spans="1:14" x14ac:dyDescent="0.3">
      <c r="A1031" t="s">
        <v>1043</v>
      </c>
      <c r="B1031" s="3">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3">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3">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3">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3">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3">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3">
        <v>45242</v>
      </c>
      <c r="C1037" t="s">
        <v>2241</v>
      </c>
      <c r="D1037" t="s">
        <v>2408</v>
      </c>
      <c r="E1037">
        <v>4</v>
      </c>
      <c r="F1037">
        <v>506.11</v>
      </c>
      <c r="G1037" t="s">
        <v>3009</v>
      </c>
      <c r="H1037" t="s">
        <v>3069</v>
      </c>
      <c r="I1037" t="s">
        <v>3071</v>
      </c>
      <c r="J1037" t="s">
        <v>4110</v>
      </c>
      <c r="K1037">
        <v>5</v>
      </c>
      <c r="L1037" t="s">
        <v>4283</v>
      </c>
      <c r="M1037" t="s">
        <v>4279</v>
      </c>
      <c r="N1037">
        <v>2024.44</v>
      </c>
    </row>
    <row r="1038" spans="1:14" x14ac:dyDescent="0.3">
      <c r="A1038" t="s">
        <v>1050</v>
      </c>
      <c r="B1038" s="3">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3">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3">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x14ac:dyDescent="0.3">
      <c r="A1041" t="s">
        <v>1053</v>
      </c>
      <c r="B1041" s="3">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3">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3">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3">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3">
        <v>45668</v>
      </c>
      <c r="C1045" t="s">
        <v>2249</v>
      </c>
      <c r="D1045" t="s">
        <v>2405</v>
      </c>
      <c r="E1045">
        <v>2</v>
      </c>
      <c r="F1045">
        <v>179.96</v>
      </c>
      <c r="G1045" t="s">
        <v>2991</v>
      </c>
      <c r="H1045" t="s">
        <v>3068</v>
      </c>
      <c r="I1045" t="s">
        <v>3070</v>
      </c>
      <c r="J1045" t="s">
        <v>4118</v>
      </c>
      <c r="K1045">
        <v>5</v>
      </c>
      <c r="L1045" t="s">
        <v>4283</v>
      </c>
      <c r="M1045" t="s">
        <v>4278</v>
      </c>
      <c r="N1045">
        <v>359.92</v>
      </c>
    </row>
    <row r="1046" spans="1:14" x14ac:dyDescent="0.3">
      <c r="A1046" t="s">
        <v>1058</v>
      </c>
      <c r="B1046" s="3">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3">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x14ac:dyDescent="0.3">
      <c r="A1048" t="s">
        <v>1060</v>
      </c>
      <c r="B1048" s="3">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3">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3">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x14ac:dyDescent="0.3">
      <c r="A1051" t="s">
        <v>1063</v>
      </c>
      <c r="B1051" s="3">
        <v>45491</v>
      </c>
      <c r="C1051" t="s">
        <v>2255</v>
      </c>
      <c r="D1051" t="s">
        <v>2409</v>
      </c>
      <c r="E1051">
        <v>5</v>
      </c>
      <c r="F1051">
        <v>391.86</v>
      </c>
      <c r="G1051" t="s">
        <v>2430</v>
      </c>
      <c r="H1051" t="s">
        <v>3067</v>
      </c>
      <c r="I1051" t="s">
        <v>3070</v>
      </c>
      <c r="J1051" t="s">
        <v>4124</v>
      </c>
      <c r="K1051">
        <v>6</v>
      </c>
      <c r="L1051" t="s">
        <v>4283</v>
      </c>
      <c r="M1051" t="s">
        <v>4278</v>
      </c>
      <c r="N1051">
        <v>1959.3</v>
      </c>
    </row>
    <row r="1052" spans="1:14" x14ac:dyDescent="0.3">
      <c r="A1052" t="s">
        <v>1064</v>
      </c>
      <c r="B1052" s="3">
        <v>45158</v>
      </c>
      <c r="C1052" t="s">
        <v>2256</v>
      </c>
      <c r="D1052" t="s">
        <v>2408</v>
      </c>
      <c r="E1052">
        <v>5</v>
      </c>
      <c r="F1052">
        <v>69.7</v>
      </c>
      <c r="G1052" t="s">
        <v>2805</v>
      </c>
      <c r="H1052" t="s">
        <v>3066</v>
      </c>
      <c r="I1052" t="s">
        <v>3072</v>
      </c>
      <c r="J1052" t="s">
        <v>4125</v>
      </c>
      <c r="K1052">
        <v>9</v>
      </c>
      <c r="L1052" t="s">
        <v>4283</v>
      </c>
      <c r="M1052" t="s">
        <v>4278</v>
      </c>
      <c r="N1052">
        <v>348.5</v>
      </c>
    </row>
    <row r="1053" spans="1:14" x14ac:dyDescent="0.3">
      <c r="A1053" t="s">
        <v>1065</v>
      </c>
      <c r="B1053" s="3">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3">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3">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3">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3">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3">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3">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3">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3">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3">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3">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3">
        <v>45161</v>
      </c>
      <c r="C1064" t="s">
        <v>2268</v>
      </c>
      <c r="D1064" t="s">
        <v>2406</v>
      </c>
      <c r="E1064">
        <v>5</v>
      </c>
      <c r="F1064">
        <v>85.52</v>
      </c>
      <c r="G1064" t="s">
        <v>2676</v>
      </c>
      <c r="H1064" t="s">
        <v>3068</v>
      </c>
      <c r="I1064" t="s">
        <v>3071</v>
      </c>
      <c r="J1064" t="s">
        <v>4137</v>
      </c>
      <c r="K1064">
        <v>5</v>
      </c>
      <c r="L1064" t="s">
        <v>4283</v>
      </c>
      <c r="M1064" t="s">
        <v>4281</v>
      </c>
      <c r="N1064">
        <v>427.6</v>
      </c>
    </row>
    <row r="1065" spans="1:14" x14ac:dyDescent="0.3">
      <c r="A1065" t="s">
        <v>1077</v>
      </c>
      <c r="B1065" s="3">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3">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3">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3">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3">
        <v>45083</v>
      </c>
      <c r="C1069" t="s">
        <v>2273</v>
      </c>
      <c r="D1069" t="s">
        <v>2404</v>
      </c>
      <c r="E1069">
        <v>2</v>
      </c>
      <c r="F1069">
        <v>316.2</v>
      </c>
      <c r="G1069" t="s">
        <v>2475</v>
      </c>
      <c r="H1069" t="s">
        <v>3066</v>
      </c>
      <c r="I1069" t="s">
        <v>3072</v>
      </c>
      <c r="J1069" t="s">
        <v>4142</v>
      </c>
      <c r="K1069">
        <v>2</v>
      </c>
      <c r="L1069" t="s">
        <v>4283</v>
      </c>
      <c r="M1069" t="s">
        <v>4278</v>
      </c>
      <c r="N1069">
        <v>632.4</v>
      </c>
    </row>
    <row r="1070" spans="1:14" x14ac:dyDescent="0.3">
      <c r="A1070" t="s">
        <v>1082</v>
      </c>
      <c r="B1070" s="3">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3">
        <v>44982</v>
      </c>
      <c r="C1071" t="s">
        <v>2275</v>
      </c>
      <c r="D1071" t="s">
        <v>2403</v>
      </c>
      <c r="E1071">
        <v>1</v>
      </c>
      <c r="F1071">
        <v>454.23</v>
      </c>
      <c r="G1071" t="s">
        <v>2617</v>
      </c>
      <c r="H1071" t="s">
        <v>3068</v>
      </c>
      <c r="I1071" t="s">
        <v>3072</v>
      </c>
      <c r="J1071" t="s">
        <v>4144</v>
      </c>
      <c r="K1071">
        <v>3</v>
      </c>
      <c r="L1071" t="s">
        <v>4283</v>
      </c>
      <c r="M1071" t="s">
        <v>4281</v>
      </c>
      <c r="N1071">
        <v>454.23</v>
      </c>
    </row>
    <row r="1072" spans="1:14" x14ac:dyDescent="0.3">
      <c r="A1072" t="s">
        <v>1084</v>
      </c>
      <c r="B1072" s="3">
        <v>45541</v>
      </c>
      <c r="C1072" t="s">
        <v>2276</v>
      </c>
      <c r="D1072" t="s">
        <v>2409</v>
      </c>
      <c r="E1072">
        <v>4</v>
      </c>
      <c r="F1072">
        <v>491.29</v>
      </c>
      <c r="G1072" t="s">
        <v>2485</v>
      </c>
      <c r="H1072" t="s">
        <v>3065</v>
      </c>
      <c r="I1072" t="s">
        <v>3074</v>
      </c>
      <c r="J1072" t="s">
        <v>4145</v>
      </c>
      <c r="K1072">
        <v>6</v>
      </c>
      <c r="L1072" t="s">
        <v>4283</v>
      </c>
      <c r="M1072" t="s">
        <v>4280</v>
      </c>
      <c r="N1072">
        <v>1965.16</v>
      </c>
    </row>
    <row r="1073" spans="1:14" x14ac:dyDescent="0.3">
      <c r="A1073" t="s">
        <v>1085</v>
      </c>
      <c r="B1073" s="3">
        <v>45832</v>
      </c>
      <c r="C1073" t="s">
        <v>2277</v>
      </c>
      <c r="D1073" t="s">
        <v>2404</v>
      </c>
      <c r="E1073">
        <v>2</v>
      </c>
      <c r="F1073">
        <v>255.14</v>
      </c>
      <c r="G1073" t="s">
        <v>2717</v>
      </c>
      <c r="H1073" t="s">
        <v>3069</v>
      </c>
      <c r="I1073" t="s">
        <v>3070</v>
      </c>
      <c r="J1073" t="s">
        <v>4146</v>
      </c>
      <c r="K1073">
        <v>2</v>
      </c>
      <c r="L1073" t="s">
        <v>4283</v>
      </c>
      <c r="M1073" t="s">
        <v>4282</v>
      </c>
      <c r="N1073">
        <v>510.28</v>
      </c>
    </row>
    <row r="1074" spans="1:14" x14ac:dyDescent="0.3">
      <c r="A1074" t="s">
        <v>1086</v>
      </c>
      <c r="B1074" s="3">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3">
        <v>45576</v>
      </c>
      <c r="C1075" t="s">
        <v>2279</v>
      </c>
      <c r="D1075" t="s">
        <v>2405</v>
      </c>
      <c r="E1075">
        <v>4</v>
      </c>
      <c r="F1075">
        <v>362.06</v>
      </c>
      <c r="G1075" t="s">
        <v>2631</v>
      </c>
      <c r="H1075" t="s">
        <v>3065</v>
      </c>
      <c r="I1075" t="s">
        <v>3072</v>
      </c>
      <c r="J1075" t="s">
        <v>4148</v>
      </c>
      <c r="K1075">
        <v>4</v>
      </c>
      <c r="L1075" t="s">
        <v>4283</v>
      </c>
      <c r="M1075" t="s">
        <v>4281</v>
      </c>
      <c r="N1075">
        <v>1448.24</v>
      </c>
    </row>
    <row r="1076" spans="1:14" x14ac:dyDescent="0.3">
      <c r="A1076" t="s">
        <v>1088</v>
      </c>
      <c r="B1076" s="3">
        <v>45422</v>
      </c>
      <c r="C1076" t="s">
        <v>2280</v>
      </c>
      <c r="D1076" t="s">
        <v>2404</v>
      </c>
      <c r="E1076">
        <v>1</v>
      </c>
      <c r="F1076">
        <v>222.73</v>
      </c>
      <c r="G1076" t="s">
        <v>3021</v>
      </c>
      <c r="H1076" t="s">
        <v>3066</v>
      </c>
      <c r="I1076" t="s">
        <v>3072</v>
      </c>
      <c r="J1076" t="s">
        <v>4149</v>
      </c>
      <c r="K1076">
        <v>4</v>
      </c>
      <c r="L1076" t="s">
        <v>4283</v>
      </c>
      <c r="M1076" t="s">
        <v>4282</v>
      </c>
      <c r="N1076">
        <v>222.73</v>
      </c>
    </row>
    <row r="1077" spans="1:14" x14ac:dyDescent="0.3">
      <c r="A1077" t="s">
        <v>1089</v>
      </c>
      <c r="B1077" s="3">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3">
        <v>45054</v>
      </c>
      <c r="C1078" t="s">
        <v>2282</v>
      </c>
      <c r="D1078" t="s">
        <v>2408</v>
      </c>
      <c r="E1078">
        <v>4</v>
      </c>
      <c r="F1078">
        <v>686.61</v>
      </c>
      <c r="G1078" t="s">
        <v>3005</v>
      </c>
      <c r="H1078" t="s">
        <v>3069</v>
      </c>
      <c r="I1078" t="s">
        <v>3070</v>
      </c>
      <c r="J1078" t="s">
        <v>4151</v>
      </c>
      <c r="K1078">
        <v>6</v>
      </c>
      <c r="L1078" t="s">
        <v>4283</v>
      </c>
      <c r="M1078" t="s">
        <v>4279</v>
      </c>
      <c r="N1078">
        <v>2746.44</v>
      </c>
    </row>
    <row r="1079" spans="1:14" x14ac:dyDescent="0.3">
      <c r="A1079" t="s">
        <v>1091</v>
      </c>
      <c r="B1079" s="3">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3">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3">
        <v>45463</v>
      </c>
      <c r="C1081" t="s">
        <v>2285</v>
      </c>
      <c r="D1081" t="s">
        <v>2404</v>
      </c>
      <c r="E1081">
        <v>5</v>
      </c>
      <c r="F1081">
        <v>634</v>
      </c>
      <c r="G1081" t="s">
        <v>2980</v>
      </c>
      <c r="H1081" t="s">
        <v>3068</v>
      </c>
      <c r="I1081" t="s">
        <v>3073</v>
      </c>
      <c r="J1081" t="s">
        <v>4154</v>
      </c>
      <c r="K1081">
        <v>8</v>
      </c>
      <c r="L1081" t="s">
        <v>4283</v>
      </c>
      <c r="M1081" t="s">
        <v>4280</v>
      </c>
      <c r="N1081">
        <v>3170</v>
      </c>
    </row>
    <row r="1082" spans="1:14" x14ac:dyDescent="0.3">
      <c r="A1082" t="s">
        <v>1094</v>
      </c>
      <c r="B1082" s="3">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x14ac:dyDescent="0.3">
      <c r="A1083" t="s">
        <v>1095</v>
      </c>
      <c r="B1083" s="3">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3">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3">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3">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3">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3">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3">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3">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3">
        <v>45731</v>
      </c>
      <c r="C1091" t="s">
        <v>2295</v>
      </c>
      <c r="D1091" t="s">
        <v>2405</v>
      </c>
      <c r="E1091">
        <v>2</v>
      </c>
      <c r="F1091">
        <v>599.74</v>
      </c>
      <c r="G1091" t="s">
        <v>2473</v>
      </c>
      <c r="H1091" t="s">
        <v>3068</v>
      </c>
      <c r="I1091" t="s">
        <v>3070</v>
      </c>
      <c r="J1091" t="s">
        <v>4164</v>
      </c>
      <c r="K1091">
        <v>2</v>
      </c>
      <c r="L1091" t="s">
        <v>4283</v>
      </c>
      <c r="M1091" t="s">
        <v>4278</v>
      </c>
      <c r="N1091">
        <v>1199.48</v>
      </c>
    </row>
    <row r="1092" spans="1:14" x14ac:dyDescent="0.3">
      <c r="A1092" t="s">
        <v>1104</v>
      </c>
      <c r="B1092" s="3">
        <v>44982</v>
      </c>
      <c r="C1092" t="s">
        <v>2296</v>
      </c>
      <c r="D1092" t="s">
        <v>2403</v>
      </c>
      <c r="E1092">
        <v>2</v>
      </c>
      <c r="F1092">
        <v>650.25</v>
      </c>
      <c r="G1092" t="s">
        <v>2441</v>
      </c>
      <c r="H1092" t="s">
        <v>3068</v>
      </c>
      <c r="I1092" t="s">
        <v>3072</v>
      </c>
      <c r="J1092" t="s">
        <v>4165</v>
      </c>
      <c r="K1092">
        <v>6</v>
      </c>
      <c r="L1092" t="s">
        <v>4283</v>
      </c>
      <c r="M1092" t="s">
        <v>4278</v>
      </c>
      <c r="N1092">
        <v>1300.5</v>
      </c>
    </row>
    <row r="1093" spans="1:14" x14ac:dyDescent="0.3">
      <c r="A1093" t="s">
        <v>1105</v>
      </c>
      <c r="B1093" s="3">
        <v>45573</v>
      </c>
      <c r="C1093" t="s">
        <v>2297</v>
      </c>
      <c r="D1093" t="s">
        <v>2408</v>
      </c>
      <c r="E1093">
        <v>3</v>
      </c>
      <c r="F1093">
        <v>209.48</v>
      </c>
      <c r="G1093" t="s">
        <v>2739</v>
      </c>
      <c r="H1093" t="s">
        <v>3065</v>
      </c>
      <c r="I1093" t="s">
        <v>3074</v>
      </c>
      <c r="J1093" t="s">
        <v>4166</v>
      </c>
      <c r="K1093">
        <v>4</v>
      </c>
      <c r="L1093" t="s">
        <v>4283</v>
      </c>
      <c r="M1093" t="s">
        <v>4280</v>
      </c>
      <c r="N1093">
        <v>628.43999999999994</v>
      </c>
    </row>
    <row r="1094" spans="1:14" x14ac:dyDescent="0.3">
      <c r="A1094" t="s">
        <v>1106</v>
      </c>
      <c r="B1094" s="3">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3">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3">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3">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3">
        <v>45780</v>
      </c>
      <c r="C1098" t="s">
        <v>2302</v>
      </c>
      <c r="D1098" t="s">
        <v>2405</v>
      </c>
      <c r="E1098">
        <v>2</v>
      </c>
      <c r="F1098">
        <v>464.92</v>
      </c>
      <c r="G1098" t="s">
        <v>3029</v>
      </c>
      <c r="H1098" t="s">
        <v>3065</v>
      </c>
      <c r="I1098" t="s">
        <v>3072</v>
      </c>
      <c r="J1098" t="s">
        <v>4171</v>
      </c>
      <c r="K1098">
        <v>2</v>
      </c>
      <c r="L1098" t="s">
        <v>4283</v>
      </c>
      <c r="M1098" t="s">
        <v>4281</v>
      </c>
      <c r="N1098">
        <v>929.84</v>
      </c>
    </row>
    <row r="1099" spans="1:14" x14ac:dyDescent="0.3">
      <c r="A1099" t="s">
        <v>1111</v>
      </c>
      <c r="B1099" s="3">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3">
        <v>45094</v>
      </c>
      <c r="C1100" t="s">
        <v>2304</v>
      </c>
      <c r="D1100" t="s">
        <v>2403</v>
      </c>
      <c r="E1100">
        <v>4</v>
      </c>
      <c r="F1100">
        <v>255.86</v>
      </c>
      <c r="G1100" t="s">
        <v>3031</v>
      </c>
      <c r="H1100" t="s">
        <v>3067</v>
      </c>
      <c r="I1100" t="s">
        <v>3073</v>
      </c>
      <c r="J1100" t="s">
        <v>4173</v>
      </c>
      <c r="K1100">
        <v>7</v>
      </c>
      <c r="L1100" t="s">
        <v>4283</v>
      </c>
      <c r="M1100" t="s">
        <v>4280</v>
      </c>
      <c r="N1100">
        <v>1023.44</v>
      </c>
    </row>
    <row r="1101" spans="1:14" x14ac:dyDescent="0.3">
      <c r="A1101" t="s">
        <v>1113</v>
      </c>
      <c r="B1101" s="3">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3">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3">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3">
        <v>45446</v>
      </c>
      <c r="C1104" t="s">
        <v>1228</v>
      </c>
      <c r="D1104" t="s">
        <v>2406</v>
      </c>
      <c r="E1104">
        <v>4</v>
      </c>
      <c r="F1104">
        <v>347.17</v>
      </c>
      <c r="G1104" t="s">
        <v>2904</v>
      </c>
      <c r="H1104" t="s">
        <v>3065</v>
      </c>
      <c r="I1104" t="s">
        <v>3070</v>
      </c>
      <c r="J1104" t="s">
        <v>4177</v>
      </c>
      <c r="K1104">
        <v>8</v>
      </c>
      <c r="L1104" t="s">
        <v>4283</v>
      </c>
      <c r="M1104" t="s">
        <v>4278</v>
      </c>
      <c r="N1104">
        <v>1388.68</v>
      </c>
    </row>
    <row r="1105" spans="1:14" x14ac:dyDescent="0.3">
      <c r="A1105" t="s">
        <v>1117</v>
      </c>
      <c r="B1105" s="3">
        <v>45040</v>
      </c>
      <c r="C1105" t="s">
        <v>2308</v>
      </c>
      <c r="D1105" t="s">
        <v>2408</v>
      </c>
      <c r="E1105">
        <v>4</v>
      </c>
      <c r="F1105">
        <v>276.32</v>
      </c>
      <c r="G1105" t="s">
        <v>2477</v>
      </c>
      <c r="H1105" t="s">
        <v>3066</v>
      </c>
      <c r="I1105" t="s">
        <v>3073</v>
      </c>
      <c r="J1105" t="s">
        <v>4178</v>
      </c>
      <c r="K1105">
        <v>5</v>
      </c>
      <c r="L1105" t="s">
        <v>4283</v>
      </c>
      <c r="M1105" t="s">
        <v>4282</v>
      </c>
      <c r="N1105">
        <v>1105.28</v>
      </c>
    </row>
    <row r="1106" spans="1:14" x14ac:dyDescent="0.3">
      <c r="A1106" t="s">
        <v>1118</v>
      </c>
      <c r="B1106" s="3">
        <v>45498</v>
      </c>
      <c r="C1106" t="s">
        <v>2309</v>
      </c>
      <c r="D1106" t="s">
        <v>2405</v>
      </c>
      <c r="E1106">
        <v>4</v>
      </c>
      <c r="F1106">
        <v>314.76</v>
      </c>
      <c r="G1106" t="s">
        <v>3033</v>
      </c>
      <c r="H1106" t="s">
        <v>3066</v>
      </c>
      <c r="I1106" t="s">
        <v>3070</v>
      </c>
      <c r="J1106" t="s">
        <v>4179</v>
      </c>
      <c r="K1106">
        <v>8</v>
      </c>
      <c r="L1106" t="s">
        <v>4283</v>
      </c>
      <c r="M1106" t="s">
        <v>4278</v>
      </c>
      <c r="N1106">
        <v>1259.04</v>
      </c>
    </row>
    <row r="1107" spans="1:14" x14ac:dyDescent="0.3">
      <c r="A1107" t="s">
        <v>1119</v>
      </c>
      <c r="B1107" s="3">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3">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3">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3">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3">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3">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3">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3">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3">
        <v>45004</v>
      </c>
      <c r="C1115" t="s">
        <v>2318</v>
      </c>
      <c r="D1115" t="s">
        <v>2409</v>
      </c>
      <c r="E1115">
        <v>4</v>
      </c>
      <c r="F1115">
        <v>209.99</v>
      </c>
      <c r="G1115" t="s">
        <v>2982</v>
      </c>
      <c r="H1115" t="s">
        <v>3069</v>
      </c>
      <c r="I1115" t="s">
        <v>3073</v>
      </c>
      <c r="J1115" t="s">
        <v>4188</v>
      </c>
      <c r="K1115">
        <v>8</v>
      </c>
      <c r="L1115" t="s">
        <v>4283</v>
      </c>
      <c r="M1115" t="s">
        <v>4282</v>
      </c>
      <c r="N1115">
        <v>839.96</v>
      </c>
    </row>
    <row r="1116" spans="1:14" x14ac:dyDescent="0.3">
      <c r="A1116" t="s">
        <v>1128</v>
      </c>
      <c r="B1116" s="3">
        <v>45001</v>
      </c>
      <c r="C1116" t="s">
        <v>2319</v>
      </c>
      <c r="D1116" t="s">
        <v>2405</v>
      </c>
      <c r="E1116">
        <v>3</v>
      </c>
      <c r="F1116">
        <v>659.88</v>
      </c>
      <c r="G1116" t="s">
        <v>2591</v>
      </c>
      <c r="H1116" t="s">
        <v>3068</v>
      </c>
      <c r="I1116" t="s">
        <v>3071</v>
      </c>
      <c r="J1116" t="s">
        <v>4189</v>
      </c>
      <c r="K1116">
        <v>3</v>
      </c>
      <c r="L1116" t="s">
        <v>4283</v>
      </c>
      <c r="M1116" t="s">
        <v>4282</v>
      </c>
      <c r="N1116">
        <v>1979.64</v>
      </c>
    </row>
    <row r="1117" spans="1:14" x14ac:dyDescent="0.3">
      <c r="A1117" t="s">
        <v>1129</v>
      </c>
      <c r="B1117" s="3">
        <v>45828</v>
      </c>
      <c r="C1117" t="s">
        <v>2320</v>
      </c>
      <c r="D1117" t="s">
        <v>2408</v>
      </c>
      <c r="E1117">
        <v>2</v>
      </c>
      <c r="F1117">
        <v>336.32</v>
      </c>
      <c r="G1117" t="s">
        <v>2613</v>
      </c>
      <c r="H1117" t="s">
        <v>3066</v>
      </c>
      <c r="I1117" t="s">
        <v>3072</v>
      </c>
      <c r="J1117" t="s">
        <v>4190</v>
      </c>
      <c r="K1117">
        <v>3</v>
      </c>
      <c r="L1117" t="s">
        <v>4283</v>
      </c>
      <c r="M1117" t="s">
        <v>4282</v>
      </c>
      <c r="N1117">
        <v>672.64</v>
      </c>
    </row>
    <row r="1118" spans="1:14" x14ac:dyDescent="0.3">
      <c r="A1118" t="s">
        <v>1130</v>
      </c>
      <c r="B1118" s="3">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3">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3">
        <v>45436</v>
      </c>
      <c r="C1120" t="s">
        <v>2323</v>
      </c>
      <c r="D1120" t="s">
        <v>2404</v>
      </c>
      <c r="E1120">
        <v>3</v>
      </c>
      <c r="F1120">
        <v>251.48</v>
      </c>
      <c r="G1120" t="s">
        <v>2729</v>
      </c>
      <c r="H1120" t="s">
        <v>3067</v>
      </c>
      <c r="I1120" t="s">
        <v>3072</v>
      </c>
      <c r="J1120" t="s">
        <v>4193</v>
      </c>
      <c r="K1120">
        <v>4</v>
      </c>
      <c r="L1120" t="s">
        <v>4283</v>
      </c>
      <c r="M1120" t="s">
        <v>4280</v>
      </c>
      <c r="N1120">
        <v>754.43999999999994</v>
      </c>
    </row>
    <row r="1121" spans="1:14" x14ac:dyDescent="0.3">
      <c r="A1121" t="s">
        <v>1133</v>
      </c>
      <c r="B1121" s="3">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3">
        <v>45787</v>
      </c>
      <c r="C1122" t="s">
        <v>2325</v>
      </c>
      <c r="D1122" t="s">
        <v>2405</v>
      </c>
      <c r="E1122">
        <v>1</v>
      </c>
      <c r="F1122">
        <v>195.86</v>
      </c>
      <c r="G1122" t="s">
        <v>2450</v>
      </c>
      <c r="H1122" t="s">
        <v>3066</v>
      </c>
      <c r="I1122" t="s">
        <v>3074</v>
      </c>
      <c r="J1122" t="s">
        <v>4195</v>
      </c>
      <c r="K1122">
        <v>3</v>
      </c>
      <c r="L1122" t="s">
        <v>4283</v>
      </c>
      <c r="M1122" t="s">
        <v>4281</v>
      </c>
      <c r="N1122">
        <v>195.86</v>
      </c>
    </row>
    <row r="1123" spans="1:14" x14ac:dyDescent="0.3">
      <c r="A1123" t="s">
        <v>1135</v>
      </c>
      <c r="B1123" s="3">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3">
        <v>45084</v>
      </c>
      <c r="C1124" t="s">
        <v>1480</v>
      </c>
      <c r="D1124" t="s">
        <v>2403</v>
      </c>
      <c r="E1124">
        <v>5</v>
      </c>
      <c r="F1124">
        <v>678.19</v>
      </c>
      <c r="G1124" t="s">
        <v>3008</v>
      </c>
      <c r="H1124" t="s">
        <v>3066</v>
      </c>
      <c r="I1124" t="s">
        <v>3072</v>
      </c>
      <c r="J1124" t="s">
        <v>4197</v>
      </c>
      <c r="K1124">
        <v>8</v>
      </c>
      <c r="L1124" t="s">
        <v>4283</v>
      </c>
      <c r="M1124" t="s">
        <v>4281</v>
      </c>
      <c r="N1124">
        <v>3390.95</v>
      </c>
    </row>
    <row r="1125" spans="1:14" x14ac:dyDescent="0.3">
      <c r="A1125" t="s">
        <v>1137</v>
      </c>
      <c r="B1125" s="3">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3">
        <v>45055</v>
      </c>
      <c r="C1126" t="s">
        <v>2328</v>
      </c>
      <c r="D1126" t="s">
        <v>2406</v>
      </c>
      <c r="E1126">
        <v>4</v>
      </c>
      <c r="F1126">
        <v>576.87</v>
      </c>
      <c r="G1126" t="s">
        <v>3037</v>
      </c>
      <c r="H1126" t="s">
        <v>3068</v>
      </c>
      <c r="I1126" t="s">
        <v>3072</v>
      </c>
      <c r="J1126" t="s">
        <v>4199</v>
      </c>
      <c r="K1126">
        <v>5</v>
      </c>
      <c r="L1126" t="s">
        <v>4283</v>
      </c>
      <c r="M1126" t="s">
        <v>4278</v>
      </c>
      <c r="N1126">
        <v>2307.48</v>
      </c>
    </row>
    <row r="1127" spans="1:14" x14ac:dyDescent="0.3">
      <c r="A1127" t="s">
        <v>1139</v>
      </c>
      <c r="B1127" s="3">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3">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3">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3">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3">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3">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3">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3">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3">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3">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3">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3">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3">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3">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x14ac:dyDescent="0.3">
      <c r="A1141" t="s">
        <v>1153</v>
      </c>
      <c r="B1141" s="3">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3">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x14ac:dyDescent="0.3">
      <c r="A1143" t="s">
        <v>1155</v>
      </c>
      <c r="B1143" s="3">
        <v>45704</v>
      </c>
      <c r="C1143" t="s">
        <v>2344</v>
      </c>
      <c r="D1143" t="s">
        <v>2406</v>
      </c>
      <c r="E1143">
        <v>3</v>
      </c>
      <c r="F1143">
        <v>498.66</v>
      </c>
      <c r="G1143" t="s">
        <v>2427</v>
      </c>
      <c r="H1143" t="s">
        <v>3069</v>
      </c>
      <c r="I1143" t="s">
        <v>3071</v>
      </c>
      <c r="J1143" t="s">
        <v>4216</v>
      </c>
      <c r="K1143">
        <v>6</v>
      </c>
      <c r="L1143" t="s">
        <v>4283</v>
      </c>
      <c r="M1143" t="s">
        <v>4280</v>
      </c>
      <c r="N1143">
        <v>1495.98</v>
      </c>
    </row>
    <row r="1144" spans="1:14" x14ac:dyDescent="0.3">
      <c r="A1144" t="s">
        <v>1156</v>
      </c>
      <c r="B1144" s="3">
        <v>45527</v>
      </c>
      <c r="C1144" t="s">
        <v>2345</v>
      </c>
      <c r="D1144" t="s">
        <v>2404</v>
      </c>
      <c r="E1144">
        <v>4</v>
      </c>
      <c r="F1144">
        <v>695.1</v>
      </c>
      <c r="G1144" t="s">
        <v>3041</v>
      </c>
      <c r="H1144" t="s">
        <v>3065</v>
      </c>
      <c r="I1144" t="s">
        <v>3072</v>
      </c>
      <c r="J1144" t="s">
        <v>4217</v>
      </c>
      <c r="K1144">
        <v>8</v>
      </c>
      <c r="L1144" t="s">
        <v>4283</v>
      </c>
      <c r="M1144" t="s">
        <v>4280</v>
      </c>
      <c r="N1144">
        <v>2780.4</v>
      </c>
    </row>
    <row r="1145" spans="1:14" x14ac:dyDescent="0.3">
      <c r="A1145" t="s">
        <v>1157</v>
      </c>
      <c r="B1145" s="3">
        <v>45019</v>
      </c>
      <c r="C1145" t="s">
        <v>2346</v>
      </c>
      <c r="D1145" t="s">
        <v>2406</v>
      </c>
      <c r="E1145">
        <v>1</v>
      </c>
      <c r="F1145">
        <v>381.61</v>
      </c>
      <c r="G1145" t="s">
        <v>3042</v>
      </c>
      <c r="H1145" t="s">
        <v>3065</v>
      </c>
      <c r="I1145" t="s">
        <v>3074</v>
      </c>
      <c r="J1145" t="s">
        <v>4218</v>
      </c>
      <c r="K1145">
        <v>5</v>
      </c>
      <c r="L1145" t="s">
        <v>4283</v>
      </c>
      <c r="M1145" t="s">
        <v>4280</v>
      </c>
      <c r="N1145">
        <v>381.61</v>
      </c>
    </row>
    <row r="1146" spans="1:14" x14ac:dyDescent="0.3">
      <c r="A1146" t="s">
        <v>1158</v>
      </c>
      <c r="B1146" s="3">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x14ac:dyDescent="0.3">
      <c r="A1147" t="s">
        <v>1159</v>
      </c>
      <c r="B1147" s="3">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3">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3">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3">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3">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3">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3">
        <v>44955</v>
      </c>
      <c r="C1153" t="s">
        <v>2354</v>
      </c>
      <c r="D1153" t="s">
        <v>2406</v>
      </c>
      <c r="E1153">
        <v>2</v>
      </c>
      <c r="F1153">
        <v>608.04</v>
      </c>
      <c r="G1153" t="s">
        <v>3047</v>
      </c>
      <c r="H1153" t="s">
        <v>3069</v>
      </c>
      <c r="I1153" t="s">
        <v>3071</v>
      </c>
      <c r="J1153" t="s">
        <v>4226</v>
      </c>
      <c r="K1153">
        <v>4</v>
      </c>
      <c r="L1153" t="s">
        <v>4283</v>
      </c>
      <c r="M1153" t="s">
        <v>4282</v>
      </c>
      <c r="N1153">
        <v>1216.08</v>
      </c>
    </row>
    <row r="1154" spans="1:14" x14ac:dyDescent="0.3">
      <c r="A1154" t="s">
        <v>1166</v>
      </c>
      <c r="B1154" s="3">
        <v>45239</v>
      </c>
      <c r="C1154" t="s">
        <v>2355</v>
      </c>
      <c r="D1154" t="s">
        <v>2405</v>
      </c>
      <c r="E1154">
        <v>2</v>
      </c>
      <c r="F1154">
        <v>344.18</v>
      </c>
      <c r="G1154" t="s">
        <v>2501</v>
      </c>
      <c r="H1154" t="s">
        <v>3067</v>
      </c>
      <c r="I1154" t="s">
        <v>3070</v>
      </c>
      <c r="J1154" t="s">
        <v>4227</v>
      </c>
      <c r="K1154">
        <v>7</v>
      </c>
      <c r="L1154" t="s">
        <v>4283</v>
      </c>
      <c r="M1154" t="s">
        <v>4279</v>
      </c>
      <c r="N1154">
        <v>688.36</v>
      </c>
    </row>
    <row r="1155" spans="1:14" x14ac:dyDescent="0.3">
      <c r="A1155" t="s">
        <v>1167</v>
      </c>
      <c r="B1155" s="3">
        <v>45642</v>
      </c>
      <c r="C1155" t="s">
        <v>2356</v>
      </c>
      <c r="D1155" t="s">
        <v>2403</v>
      </c>
      <c r="E1155">
        <v>4</v>
      </c>
      <c r="F1155">
        <v>696.71</v>
      </c>
      <c r="G1155" t="s">
        <v>3048</v>
      </c>
      <c r="H1155" t="s">
        <v>3065</v>
      </c>
      <c r="I1155" t="s">
        <v>3070</v>
      </c>
      <c r="J1155" t="s">
        <v>4228</v>
      </c>
      <c r="K1155">
        <v>4</v>
      </c>
      <c r="L1155" t="s">
        <v>4283</v>
      </c>
      <c r="M1155" t="s">
        <v>4278</v>
      </c>
      <c r="N1155">
        <v>2786.84</v>
      </c>
    </row>
    <row r="1156" spans="1:14" x14ac:dyDescent="0.3">
      <c r="A1156" t="s">
        <v>1168</v>
      </c>
      <c r="B1156" s="3">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3">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3">
        <v>45126</v>
      </c>
      <c r="C1158" t="s">
        <v>2359</v>
      </c>
      <c r="D1158" t="s">
        <v>2408</v>
      </c>
      <c r="E1158">
        <v>4</v>
      </c>
      <c r="F1158">
        <v>690.78</v>
      </c>
      <c r="G1158" t="s">
        <v>2424</v>
      </c>
      <c r="H1158" t="s">
        <v>3067</v>
      </c>
      <c r="I1158" t="s">
        <v>3070</v>
      </c>
      <c r="J1158" t="s">
        <v>4231</v>
      </c>
      <c r="K1158">
        <v>9</v>
      </c>
      <c r="L1158" t="s">
        <v>4283</v>
      </c>
      <c r="M1158" t="s">
        <v>4279</v>
      </c>
      <c r="N1158">
        <v>2763.12</v>
      </c>
    </row>
    <row r="1159" spans="1:14" x14ac:dyDescent="0.3">
      <c r="A1159" t="s">
        <v>1171</v>
      </c>
      <c r="B1159" s="3">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3">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3">
        <v>45345</v>
      </c>
      <c r="C1161" t="s">
        <v>2362</v>
      </c>
      <c r="D1161" t="s">
        <v>2409</v>
      </c>
      <c r="E1161">
        <v>4</v>
      </c>
      <c r="F1161">
        <v>466.7</v>
      </c>
      <c r="G1161" t="s">
        <v>2766</v>
      </c>
      <c r="H1161" t="s">
        <v>3065</v>
      </c>
      <c r="I1161" t="s">
        <v>3072</v>
      </c>
      <c r="J1161" t="s">
        <v>4234</v>
      </c>
      <c r="K1161">
        <v>8</v>
      </c>
      <c r="L1161" t="s">
        <v>4283</v>
      </c>
      <c r="M1161" t="s">
        <v>4278</v>
      </c>
      <c r="N1161">
        <v>1866.8</v>
      </c>
    </row>
    <row r="1162" spans="1:14" x14ac:dyDescent="0.3">
      <c r="A1162" t="s">
        <v>1174</v>
      </c>
      <c r="B1162" s="3">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3">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3">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3">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3">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3">
        <v>45121</v>
      </c>
      <c r="C1167" t="s">
        <v>2368</v>
      </c>
      <c r="D1167" t="s">
        <v>2406</v>
      </c>
      <c r="E1167">
        <v>3</v>
      </c>
      <c r="F1167">
        <v>223.79</v>
      </c>
      <c r="G1167" t="s">
        <v>3051</v>
      </c>
      <c r="H1167" t="s">
        <v>3065</v>
      </c>
      <c r="I1167" t="s">
        <v>3074</v>
      </c>
      <c r="J1167" t="s">
        <v>4240</v>
      </c>
      <c r="K1167">
        <v>3</v>
      </c>
      <c r="L1167" t="s">
        <v>4283</v>
      </c>
      <c r="M1167" t="s">
        <v>4282</v>
      </c>
      <c r="N1167">
        <v>671.37</v>
      </c>
    </row>
    <row r="1168" spans="1:14" x14ac:dyDescent="0.3">
      <c r="A1168" t="s">
        <v>1180</v>
      </c>
      <c r="B1168" s="3">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3">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3">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3">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3">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3">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3">
        <v>45692</v>
      </c>
      <c r="C1174" t="s">
        <v>2375</v>
      </c>
      <c r="D1174" t="s">
        <v>2409</v>
      </c>
      <c r="E1174">
        <v>3</v>
      </c>
      <c r="F1174">
        <v>131.96</v>
      </c>
      <c r="G1174" t="s">
        <v>2793</v>
      </c>
      <c r="H1174" t="s">
        <v>3067</v>
      </c>
      <c r="I1174" t="s">
        <v>3074</v>
      </c>
      <c r="J1174" t="s">
        <v>4247</v>
      </c>
      <c r="K1174">
        <v>8</v>
      </c>
      <c r="L1174" t="s">
        <v>4283</v>
      </c>
      <c r="M1174" t="s">
        <v>4278</v>
      </c>
      <c r="N1174">
        <v>395.88</v>
      </c>
    </row>
    <row r="1175" spans="1:14" x14ac:dyDescent="0.3">
      <c r="A1175" t="s">
        <v>1187</v>
      </c>
      <c r="B1175" s="3">
        <v>45569</v>
      </c>
      <c r="C1175" t="s">
        <v>2376</v>
      </c>
      <c r="D1175" t="s">
        <v>2403</v>
      </c>
      <c r="E1175">
        <v>1</v>
      </c>
      <c r="F1175" t="s">
        <v>4297</v>
      </c>
      <c r="G1175" t="s">
        <v>2891</v>
      </c>
      <c r="H1175" t="s">
        <v>3066</v>
      </c>
      <c r="I1175" t="s">
        <v>3070</v>
      </c>
      <c r="J1175" t="s">
        <v>4248</v>
      </c>
      <c r="K1175">
        <v>4</v>
      </c>
      <c r="L1175" t="s">
        <v>4276</v>
      </c>
      <c r="M1175" t="s">
        <v>4280</v>
      </c>
      <c r="N1175">
        <v>208.36</v>
      </c>
    </row>
    <row r="1176" spans="1:14" x14ac:dyDescent="0.3">
      <c r="A1176" t="s">
        <v>1188</v>
      </c>
      <c r="B1176" s="3">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3">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3">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3">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3">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3">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3">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3">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3">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3">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3">
        <v>45196</v>
      </c>
      <c r="C1186" t="s">
        <v>2387</v>
      </c>
      <c r="D1186" t="s">
        <v>2408</v>
      </c>
      <c r="E1186">
        <v>1</v>
      </c>
      <c r="F1186">
        <v>204.08</v>
      </c>
      <c r="G1186" t="s">
        <v>2938</v>
      </c>
      <c r="H1186" t="s">
        <v>3068</v>
      </c>
      <c r="I1186" t="s">
        <v>3072</v>
      </c>
      <c r="J1186" t="s">
        <v>4259</v>
      </c>
      <c r="K1186">
        <v>4</v>
      </c>
      <c r="L1186" t="s">
        <v>4283</v>
      </c>
      <c r="M1186" t="s">
        <v>4282</v>
      </c>
      <c r="N1186">
        <v>204.08</v>
      </c>
    </row>
    <row r="1187" spans="1:14" x14ac:dyDescent="0.3">
      <c r="A1187" t="s">
        <v>1199</v>
      </c>
      <c r="B1187" s="3">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3">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3">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3">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3">
        <v>45521</v>
      </c>
      <c r="C1191" t="s">
        <v>2392</v>
      </c>
      <c r="D1191" t="s">
        <v>2405</v>
      </c>
      <c r="E1191">
        <v>5</v>
      </c>
      <c r="F1191">
        <v>389.22</v>
      </c>
      <c r="G1191" t="s">
        <v>3060</v>
      </c>
      <c r="H1191" t="s">
        <v>3069</v>
      </c>
      <c r="I1191" t="s">
        <v>3071</v>
      </c>
      <c r="J1191" t="s">
        <v>4264</v>
      </c>
      <c r="K1191">
        <v>7</v>
      </c>
      <c r="L1191" t="s">
        <v>4283</v>
      </c>
      <c r="M1191" t="s">
        <v>4279</v>
      </c>
      <c r="N1191">
        <v>1946.1</v>
      </c>
    </row>
    <row r="1192" spans="1:14" x14ac:dyDescent="0.3">
      <c r="A1192" t="s">
        <v>1204</v>
      </c>
      <c r="B1192" s="3">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3">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3">
        <v>45350</v>
      </c>
      <c r="C1194" t="s">
        <v>2395</v>
      </c>
      <c r="D1194" t="s">
        <v>2406</v>
      </c>
      <c r="E1194">
        <v>3</v>
      </c>
      <c r="F1194">
        <v>432.85</v>
      </c>
      <c r="G1194" t="s">
        <v>2593</v>
      </c>
      <c r="H1194" t="s">
        <v>3066</v>
      </c>
      <c r="I1194" t="s">
        <v>3074</v>
      </c>
      <c r="J1194" t="s">
        <v>4267</v>
      </c>
      <c r="K1194">
        <v>4</v>
      </c>
      <c r="L1194" t="s">
        <v>4283</v>
      </c>
      <c r="M1194" t="s">
        <v>4278</v>
      </c>
      <c r="N1194">
        <v>1298.55</v>
      </c>
    </row>
    <row r="1195" spans="1:14" x14ac:dyDescent="0.3">
      <c r="A1195" t="s">
        <v>1207</v>
      </c>
      <c r="B1195" s="3">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3">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3">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3">
        <v>45355</v>
      </c>
      <c r="C1198" t="s">
        <v>2399</v>
      </c>
      <c r="D1198" t="s">
        <v>2403</v>
      </c>
      <c r="E1198">
        <v>2</v>
      </c>
      <c r="F1198">
        <v>662.53</v>
      </c>
      <c r="G1198" t="s">
        <v>2730</v>
      </c>
      <c r="H1198" t="s">
        <v>3066</v>
      </c>
      <c r="I1198" t="s">
        <v>3071</v>
      </c>
      <c r="J1198" t="s">
        <v>4271</v>
      </c>
      <c r="K1198">
        <v>5</v>
      </c>
      <c r="L1198" t="s">
        <v>4283</v>
      </c>
      <c r="M1198" t="s">
        <v>4281</v>
      </c>
      <c r="N1198">
        <v>1325.06</v>
      </c>
    </row>
    <row r="1199" spans="1:14" x14ac:dyDescent="0.3">
      <c r="A1199" t="s">
        <v>1211</v>
      </c>
      <c r="B1199" s="3">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3">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3">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Obj2</vt:lpstr>
      <vt:lpstr>Obj4</vt:lpstr>
      <vt:lpstr>Obj3</vt:lpstr>
      <vt:lpstr>Obj6</vt:lpstr>
      <vt:lpstr>Obj5</vt:lpstr>
      <vt:lpstr>Obj7</vt:lpstr>
      <vt:lpstr>Obj8</vt:lpstr>
      <vt:lpstr>Vlookup</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Krina Suthar</dc:creator>
  <cp:lastModifiedBy>Krina Suthar</cp:lastModifiedBy>
  <dcterms:created xsi:type="dcterms:W3CDTF">2025-06-21T13:19:12Z</dcterms:created>
  <dcterms:modified xsi:type="dcterms:W3CDTF">2025-12-19T14:17:46Z</dcterms:modified>
</cp:coreProperties>
</file>